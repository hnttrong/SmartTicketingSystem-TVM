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lehoa\.gemini\antigravity\scratch\M5\report\"/>
    </mc:Choice>
  </mc:AlternateContent>
  <xr:revisionPtr revIDLastSave="0" documentId="13_ncr:1_{3E528B28-171C-4212-B60B-C440AF88B697}" xr6:coauthVersionLast="47" xr6:coauthVersionMax="47" xr10:uidLastSave="{00000000-0000-0000-0000-000000000000}"/>
  <bookViews>
    <workbookView xWindow="-120" yWindow="-120" windowWidth="29040" windowHeight="15720" tabRatio="769" activeTab="11" xr2:uid="{00000000-000D-0000-FFFF-FFFF00000000}"/>
  </bookViews>
  <sheets>
    <sheet name="Instructions" sheetId="1" r:id="rId1"/>
    <sheet name="Team" sheetId="2" r:id="rId2"/>
    <sheet name="Clarification Q&amp;A" sheetId="3" r:id="rId3"/>
    <sheet name="Requirements" sheetId="4" r:id="rId4"/>
    <sheet name="Use Cases" sheetId="5" r:id="rId5"/>
    <sheet name="Artifact Tracker" sheetId="6" r:id="rId6"/>
    <sheet name="Consistency Check" sheetId="7" r:id="rId7"/>
    <sheet name="AI Prompt Log" sheetId="8" r:id="rId8"/>
    <sheet name="Commit Log" sheetId="9" r:id="rId9"/>
    <sheet name="Progress Log" sheetId="10" r:id="rId10"/>
    <sheet name="Marking" sheetId="11" r:id="rId11"/>
    <sheet name="Summary" sheetId="12" r:id="rId1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20" i="12" l="1"/>
  <c r="B20" i="12"/>
  <c r="A20" i="12"/>
  <c r="E19" i="12"/>
  <c r="C19" i="12"/>
  <c r="B19" i="12"/>
  <c r="F19" i="12" s="1"/>
  <c r="A19" i="12"/>
  <c r="F18" i="12"/>
  <c r="E18" i="12"/>
  <c r="C18" i="12"/>
  <c r="B18" i="12"/>
  <c r="A18" i="12"/>
  <c r="F17" i="12"/>
  <c r="C17" i="12"/>
  <c r="B17" i="12"/>
  <c r="E17" i="12" s="1"/>
  <c r="A17" i="12"/>
  <c r="F16" i="12"/>
  <c r="C16" i="12"/>
  <c r="B16" i="12"/>
  <c r="E16" i="12" s="1"/>
  <c r="A16" i="12"/>
  <c r="B11" i="12"/>
  <c r="B10" i="12"/>
  <c r="B4" i="12"/>
  <c r="F15" i="11"/>
  <c r="C10" i="12" s="1"/>
  <c r="E15" i="11"/>
  <c r="G15" i="11" s="1"/>
  <c r="C15" i="11"/>
  <c r="G14" i="11"/>
  <c r="G13" i="11"/>
  <c r="G12" i="11"/>
  <c r="G11" i="11"/>
  <c r="G10" i="11"/>
  <c r="G9" i="11"/>
  <c r="G8" i="11"/>
  <c r="G7" i="11"/>
  <c r="G6" i="11"/>
  <c r="G5" i="11"/>
  <c r="B12" i="10"/>
  <c r="F49" i="8"/>
  <c r="F48" i="8"/>
  <c r="F47" i="8"/>
  <c r="F46" i="8"/>
  <c r="C30" i="6"/>
  <c r="C29" i="6"/>
  <c r="H27" i="6"/>
  <c r="H26" i="6"/>
  <c r="H25" i="6"/>
  <c r="H24" i="6"/>
  <c r="H23" i="6"/>
  <c r="H22" i="6"/>
  <c r="H21" i="6"/>
  <c r="H20" i="6"/>
  <c r="H19" i="6"/>
  <c r="H18" i="6"/>
  <c r="H17" i="6"/>
  <c r="H16" i="6"/>
  <c r="H15" i="6"/>
  <c r="H14" i="6"/>
  <c r="H13" i="6"/>
  <c r="H12" i="6"/>
  <c r="H11" i="6"/>
  <c r="H10" i="6"/>
  <c r="H9" i="6"/>
  <c r="H8" i="6"/>
  <c r="H7" i="6"/>
  <c r="H6" i="6"/>
  <c r="H5" i="6"/>
  <c r="C61" i="4"/>
  <c r="C60" i="4"/>
  <c r="C59" i="4"/>
  <c r="C62" i="4" s="1"/>
  <c r="C58" i="4"/>
  <c r="C57" i="4"/>
  <c r="C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9" i="4"/>
  <c r="A18" i="4"/>
  <c r="A17" i="4"/>
  <c r="A16" i="4"/>
  <c r="A15" i="4"/>
  <c r="A14" i="4"/>
  <c r="A13" i="4"/>
  <c r="A12" i="4"/>
  <c r="A11" i="4"/>
  <c r="A10" i="4"/>
  <c r="A9" i="4"/>
  <c r="A8" i="4"/>
  <c r="A7" i="4"/>
  <c r="A6" i="4"/>
  <c r="A5" i="4"/>
  <c r="D33" i="3"/>
  <c r="D32" i="3"/>
  <c r="D31" i="3"/>
  <c r="E16" i="2"/>
  <c r="E17" i="2" s="1"/>
  <c r="F15" i="2"/>
  <c r="G15" i="2" s="1"/>
  <c r="G14" i="2"/>
  <c r="F14" i="2"/>
  <c r="G13" i="2"/>
  <c r="F13" i="2"/>
  <c r="G12" i="2"/>
  <c r="F12" i="2"/>
  <c r="G11" i="2"/>
  <c r="F11" i="2"/>
  <c r="B6" i="2"/>
  <c r="B7" i="2" s="1"/>
  <c r="D10" i="12" l="1"/>
  <c r="C11" i="12"/>
  <c r="D11" i="12" s="1"/>
  <c r="E20" i="12"/>
  <c r="F20" i="12" s="1"/>
</calcChain>
</file>

<file path=xl/sharedStrings.xml><?xml version="1.0" encoding="utf-8"?>
<sst xmlns="http://schemas.openxmlformats.org/spreadsheetml/2006/main" count="507" uniqueCount="405">
  <si>
    <t>SE Lab Assignment 1 Team Workbook</t>
  </si>
  <si>
    <t>Smart Ticketing System (TVM)  |  Sem 1_2627  |  One workbook per group, kept in your shared folder and in your GitHub repository</t>
  </si>
  <si>
    <t>Purpose</t>
  </si>
  <si>
    <t>This workbook is your group's working record for Lab Group Assignment 1. It contains the Clarification Q&amp;A and the requirements (two deliverables you hand in as Excel or Word), plus trackers that show your process: who built what, the diagrams and their status, your Copilot prompts, your commits and your weekly progress. The lecturer reads it during the labs and replies in the green cells. Student self-marking and lecturer marking are on the Marking sheet. It supports, and does not replace, your official submission (the .docx report, readme.txt and the % contribution).</t>
  </si>
  <si>
    <t>How to use it</t>
  </si>
  <si>
    <t>1. Fill in the Team sheet first (3 to 5 students, % contribution totalling 100%).</t>
  </si>
  <si>
    <t>2. Do the Clarification Q&amp;A before you write the requirements. Every assumed answer should lead to a requirement ID.</t>
  </si>
  <si>
    <t>3. Update the Artifact Tracker, Commit Log, AI Prompt Log and Progress Log every lab week. These show the process mark evidence.</t>
  </si>
  <si>
    <t>4. Before submission, use the Consistency Check sheet, then self-mark on the Marking sheet. The lecturer marks in the green column.</t>
  </si>
  <si>
    <t>Colour legend</t>
  </si>
  <si>
    <t>Student input</t>
  </si>
  <si>
    <t>Yellow fill, blue text</t>
  </si>
  <si>
    <t>Lecturer input</t>
  </si>
  <si>
    <t>Green fill, blue text</t>
  </si>
  <si>
    <t>Calculated / fixed</t>
  </si>
  <si>
    <t>Black text, no fill</t>
  </si>
  <si>
    <t>Sheets in this workbook</t>
  </si>
  <si>
    <t>Sheet</t>
  </si>
  <si>
    <t>What it is for</t>
  </si>
  <si>
    <t>Report section it feeds</t>
  </si>
  <si>
    <t>When to fill in</t>
  </si>
  <si>
    <t>Team</t>
  </si>
  <si>
    <t>Members, roles, % contribution, commit counts</t>
  </si>
  <si>
    <t>1.3, 7</t>
  </si>
  <si>
    <t>Week 1</t>
  </si>
  <si>
    <t>Clarification Q&amp;A</t>
  </si>
  <si>
    <t>Ambiguities, questions and assumed answers (Task 1, 5%)</t>
  </si>
  <si>
    <t>2.1</t>
  </si>
  <si>
    <t>Before requirements</t>
  </si>
  <si>
    <t>Requirements</t>
  </si>
  <si>
    <t>Functional, non-functional and domain requirements with measurable metrics (Task 2, 15%)</t>
  </si>
  <si>
    <t>2.2</t>
  </si>
  <si>
    <t>Phase 1</t>
  </si>
  <si>
    <t>Use Cases</t>
  </si>
  <si>
    <t>Use case register and description status (Task 3)</t>
  </si>
  <si>
    <t>3.1</t>
  </si>
  <si>
    <t>Phase 2</t>
  </si>
  <si>
    <t>Artifact Tracker</t>
  </si>
  <si>
    <t>Every deliverable: owner, tool, link, status, % done</t>
  </si>
  <si>
    <t>All</t>
  </si>
  <si>
    <t>Throughout</t>
  </si>
  <si>
    <t>Consistency Check</t>
  </si>
  <si>
    <t>Alignment of the diagrams and the code</t>
  </si>
  <si>
    <t>3.4</t>
  </si>
  <si>
    <t>Before submitting</t>
  </si>
  <si>
    <t>AI Prompt Log</t>
  </si>
  <si>
    <t>Copilot prompts, how the AI helped, how you validated (Task 9)</t>
  </si>
  <si>
    <t>5.2.2</t>
  </si>
  <si>
    <t>Commit Log</t>
  </si>
  <si>
    <t>Commits and pull requests per member per week</t>
  </si>
  <si>
    <t>5.2.1</t>
  </si>
  <si>
    <t>Weekly</t>
  </si>
  <si>
    <t>Progress Log</t>
  </si>
  <si>
    <t>Weekly plan, actual work, evidence and lecturer feedback</t>
  </si>
  <si>
    <t>Process mark</t>
  </si>
  <si>
    <t>Marking</t>
  </si>
  <si>
    <t>Self-mark and lecturer mark for the 10 tasks (100%)</t>
  </si>
  <si>
    <t>–</t>
  </si>
  <si>
    <t>End</t>
  </si>
  <si>
    <t>Summary</t>
  </si>
  <si>
    <t>Group result, QT2 points and individual marks</t>
  </si>
  <si>
    <t>Team and Contribution</t>
  </si>
  <si>
    <t>Group of 3 to 5 students. The % contribution of each member must total 100% and match your readme.txt.</t>
  </si>
  <si>
    <t>Group name</t>
  </si>
  <si>
    <t>GitHub repo</t>
  </si>
  <si>
    <t>Group size</t>
  </si>
  <si>
    <t>Size check</t>
  </si>
  <si>
    <t>Members</t>
  </si>
  <si>
    <t>Member</t>
  </si>
  <si>
    <t>Name</t>
  </si>
  <si>
    <t>Student ID</t>
  </si>
  <si>
    <t>Role / main responsibility</t>
  </si>
  <si>
    <t>% contribution</t>
  </si>
  <si>
    <t>Commits (from Commit Log)</t>
  </si>
  <si>
    <t>Check</t>
  </si>
  <si>
    <t>Member 1</t>
  </si>
  <si>
    <t>Member 2</t>
  </si>
  <si>
    <t>Member 3</t>
  </si>
  <si>
    <t>Member 4</t>
  </si>
  <si>
    <t>Member 5</t>
  </si>
  <si>
    <t>[Student Name 5]</t>
  </si>
  <si>
    <t>524H0199</t>
  </si>
  <si>
    <t>UI/UX Touchscreen Mockups (4.1); UML Deployment Diagram (4.2.2); C# .NET 8 WinForms &amp; MSSQL Demo (5.3)</t>
  </si>
  <si>
    <t>Total contribution</t>
  </si>
  <si>
    <t>Contribution is the share of the whole project each member built, in agreement with the group. The lecturer may adjust it using the Git history, the pull requests and individual questions.</t>
  </si>
  <si>
    <t>Clarification Q&amp;A (Task 1, 5 marks)</t>
  </si>
  <si>
    <t>Identify the ambiguities in the problem statement, ask the stakeholders, and give logical assumed answers to base your design on.</t>
  </si>
  <si>
    <t>Q ID</t>
  </si>
  <si>
    <t>Area</t>
  </si>
  <si>
    <t>Ambiguity found in the problem statement</t>
  </si>
  <si>
    <t>Clarifying question to the stakeholder</t>
  </si>
  <si>
    <t>Stakeholder asked</t>
  </si>
  <si>
    <t>Assumed answer (logical)</t>
  </si>
  <si>
    <t>Rationale and impact on the design</t>
  </si>
  <si>
    <t>Requirement ID</t>
  </si>
  <si>
    <t>Status</t>
  </si>
  <si>
    <t>Lecturer comment</t>
  </si>
  <si>
    <t>Q01</t>
  </si>
  <si>
    <t>Q02</t>
  </si>
  <si>
    <t>Q03</t>
  </si>
  <si>
    <t>Q04</t>
  </si>
  <si>
    <t>Q05</t>
  </si>
  <si>
    <t>Q06</t>
  </si>
  <si>
    <t>Q07</t>
  </si>
  <si>
    <t>Q08</t>
  </si>
  <si>
    <t>Q09</t>
  </si>
  <si>
    <t>Q10</t>
  </si>
  <si>
    <t>Q11</t>
  </si>
  <si>
    <t>Q12</t>
  </si>
  <si>
    <t>Q13</t>
  </si>
  <si>
    <t>Q14</t>
  </si>
  <si>
    <t>Q15</t>
  </si>
  <si>
    <t>Q16</t>
  </si>
  <si>
    <t>Q17</t>
  </si>
  <si>
    <t>Q18</t>
  </si>
  <si>
    <t>Q19</t>
  </si>
  <si>
    <t>Q20</t>
  </si>
  <si>
    <t>Q21</t>
  </si>
  <si>
    <t>Q22</t>
  </si>
  <si>
    <t>Q23</t>
  </si>
  <si>
    <t>Q24</t>
  </si>
  <si>
    <t>Q25</t>
  </si>
  <si>
    <t>Questions written</t>
  </si>
  <si>
    <t>Questions linked to a requirement</t>
  </si>
  <si>
    <t>Areas covered</t>
  </si>
  <si>
    <t>Strong Q&amp;A uncovers hidden complexity (timeouts, declined payments, refunds, printer or paper out, offline mode, fares). Aim for several different areas, not many questions on one topic.</t>
  </si>
  <si>
    <t>Requirements Specification (Task 2, 15 marks)</t>
  </si>
  <si>
    <t>Functional, Non-Functional and Domain requirements. Every NFR needs a measurable metric. Focus: reliability and response time.</t>
  </si>
  <si>
    <t>ID</t>
  </si>
  <si>
    <t>Requirement</t>
  </si>
  <si>
    <t>Type</t>
  </si>
  <si>
    <t>Category (NFR)</t>
  </si>
  <si>
    <t>Measurable metric / fit criterion (NFR)</t>
  </si>
  <si>
    <t>Measurement method</t>
  </si>
  <si>
    <t>Priority</t>
  </si>
  <si>
    <t>Use case</t>
  </si>
  <si>
    <t>Source (Q ID)</t>
  </si>
  <si>
    <t>Functional requirements</t>
  </si>
  <si>
    <t>Non-functional requirements</t>
  </si>
  <si>
    <t>Domain requirements</t>
  </si>
  <si>
    <t>NFRs without a measurable metric</t>
  </si>
  <si>
    <t>Reliability NFRs (need at least 1)</t>
  </si>
  <si>
    <t>Response-time NFRs (need at least 1)</t>
  </si>
  <si>
    <t>Critical focus check</t>
  </si>
  <si>
    <t>Use Case Register (Task 3)</t>
  </si>
  <si>
    <t>One row per use case. Each needs a full description and appears in the use case diagram.</t>
  </si>
  <si>
    <t>Primary actor</t>
  </si>
  <si>
    <t>Short description</t>
  </si>
  <si>
    <t>Requirement IDs</t>
  </si>
  <si>
    <t>Description written?</t>
  </si>
  <si>
    <t>In activity / sequence diagram?</t>
  </si>
  <si>
    <t>Owner (ID)</t>
  </si>
  <si>
    <t>UC01</t>
  </si>
  <si>
    <t>UC02</t>
  </si>
  <si>
    <t>UC03</t>
  </si>
  <si>
    <t>UC04</t>
  </si>
  <si>
    <t>UC05</t>
  </si>
  <si>
    <t>UC06</t>
  </si>
  <si>
    <t>UC07</t>
  </si>
  <si>
    <t>UC08</t>
  </si>
  <si>
    <t>UC09</t>
  </si>
  <si>
    <t>UC10</t>
  </si>
  <si>
    <t>UC11</t>
  </si>
  <si>
    <t>UC12</t>
  </si>
  <si>
    <t>Track every deliverable. Percent complete is calculated from the status.</t>
  </si>
  <si>
    <t>Task</t>
  </si>
  <si>
    <t>Artifact</t>
  </si>
  <si>
    <t>Marks</t>
  </si>
  <si>
    <t>Tool</t>
  </si>
  <si>
    <t>File / link</t>
  </si>
  <si>
    <t>% complete</t>
  </si>
  <si>
    <t>1</t>
  </si>
  <si>
    <t>Clarification Q&amp;A (Excel)</t>
  </si>
  <si>
    <t>2</t>
  </si>
  <si>
    <t>Requirements Specification</t>
  </si>
  <si>
    <t>3</t>
  </si>
  <si>
    <t>Use case diagram</t>
  </si>
  <si>
    <t>Use case descriptions</t>
  </si>
  <si>
    <t>4</t>
  </si>
  <si>
    <t>Activity diagram: buy a ticket</t>
  </si>
  <si>
    <t>Activity diagram: payment gateways</t>
  </si>
  <si>
    <t>5</t>
  </si>
  <si>
    <t>Sequence diagram</t>
  </si>
  <si>
    <t>State chart diagram</t>
  </si>
  <si>
    <t>Class diagram</t>
  </si>
  <si>
    <t>6</t>
  </si>
  <si>
    <t>UI/UX wireframes or mockups</t>
  </si>
  <si>
    <t>Figma / HTML5 SVG</t>
  </si>
  <si>
    <t>Done</t>
  </si>
  <si>
    <t>7</t>
  </si>
  <si>
    <t>Architecture diagram</t>
  </si>
  <si>
    <t>Deployment diagram</t>
  </si>
  <si>
    <t>PlantUML / Graphviz</t>
  </si>
  <si>
    <t>8</t>
  </si>
  <si>
    <t>VS forward engineering (model to code)</t>
  </si>
  <si>
    <t>VS backward engineering (code to model)</t>
  </si>
  <si>
    <t>VS Code Map</t>
  </si>
  <si>
    <t>9</t>
  </si>
  <si>
    <t>GitHub repository with collaboration history</t>
  </si>
  <si>
    <t>Copilot prompt documentation</t>
  </si>
  <si>
    <t>10</t>
  </si>
  <si>
    <t>Demo: C# and MSSQL input form</t>
  </si>
  <si>
    <t>VS 2022 / .NET 8 WinForms</t>
  </si>
  <si>
    <t>src/TvmDemo/Views/MainForm.cs</t>
  </si>
  <si>
    <t>Demo: output report or success screen</t>
  </si>
  <si>
    <t>VS 2022 / TicketPrinter.cs</t>
  </si>
  <si>
    <t>src/TvmDemo/Views/MainForm.cs (S05a)</t>
  </si>
  <si>
    <t>Demo: database script and run instructions</t>
  </si>
  <si>
    <t>MSSQL LocalDB &amp; Express</t>
  </si>
  <si>
    <t>db/TvmDemo_Setup.sql</t>
  </si>
  <si>
    <t>Report .docx</t>
  </si>
  <si>
    <t>readme.txt</t>
  </si>
  <si>
    <t>% contribution of each member</t>
  </si>
  <si>
    <t>Overall progress</t>
  </si>
  <si>
    <t>Artifacts done</t>
  </si>
  <si>
    <t>Marks column shows the weight of each task of the assignment (split across its artifacts for tracking only).</t>
  </si>
  <si>
    <t>Model Consistency Check</t>
  </si>
  <si>
    <t>Diagrams must be syntactically correct, logically sound and aligned with each other.</t>
  </si>
  <si>
    <t>#</t>
  </si>
  <si>
    <t>Diagrams involved</t>
  </si>
  <si>
    <t>Student</t>
  </si>
  <si>
    <t>Lecturer</t>
  </si>
  <si>
    <t>Notes</t>
  </si>
  <si>
    <t>Every use case in the diagram has a description, and every description is in the diagram</t>
  </si>
  <si>
    <t>Use case diagram / descriptions</t>
  </si>
  <si>
    <t>Every step of the main flow appears in the activity diagram</t>
  </si>
  <si>
    <t>Descriptions / activity</t>
  </si>
  <si>
    <t>Objects and messages in the sequence diagram exist as classes and methods in the class diagram</t>
  </si>
  <si>
    <t>Sequence / class</t>
  </si>
  <si>
    <t>State names and transitions match the events in the sequence diagram</t>
  </si>
  <si>
    <t>State chart / sequence</t>
  </si>
  <si>
    <t>Payment gateway steps match between both activity diagrams and the sequence diagram</t>
  </si>
  <si>
    <t>Activity / sequence</t>
  </si>
  <si>
    <t>Requirement IDs are cited in the use cases</t>
  </si>
  <si>
    <t>Requirements / use cases</t>
  </si>
  <si>
    <t>The class diagram matches the C# code from forward and backward engineering</t>
  </si>
  <si>
    <t>Class / code</t>
  </si>
  <si>
    <t>The UI screens match the steps of the main flow</t>
  </si>
  <si>
    <t>Wireframes / descriptions</t>
  </si>
  <si>
    <t>Yes</t>
  </si>
  <si>
    <t>Screens S01-S08 map 1:1 to UC01 main purchase flow, card/QR payment, ticket printing, and exception handlers</t>
  </si>
  <si>
    <t>The architecture and deployment diagrams show the same components</t>
  </si>
  <si>
    <t>Architecture / deployment</t>
  </si>
  <si>
    <t>Both diagrams represent TVM Kiosk, Display, TicketPrinter, CardReader, Central App Server, SQL Server, and Gateway APIs</t>
  </si>
  <si>
    <t>UML notation is correct (arrows, multiplicities, guards, swim lanes)</t>
  </si>
  <si>
    <t>All diagrams</t>
  </si>
  <si>
    <t>AI Prompt Log (Task 9)</t>
  </si>
  <si>
    <t>Document each prompt to GitHub Copilot (or a similar tool), how it helped, and how you validated the generated code.</t>
  </si>
  <si>
    <t>No.</t>
  </si>
  <si>
    <t>Date</t>
  </si>
  <si>
    <t>Task / artifact</t>
  </si>
  <si>
    <t>Prompt used</t>
  </si>
  <si>
    <t>How the AI helped (boilerplate / logic / explanation)</t>
  </si>
  <si>
    <t>Output used?</t>
  </si>
  <si>
    <t>How we validated it (tests, code review, run)</t>
  </si>
  <si>
    <t>2026-10-28</t>
  </si>
  <si>
    <t>GitHub Copilot</t>
  </si>
  <si>
    <t>Task 6 / UI/UX Design</t>
  </si>
  <si>
    <t>Generate 10 touch-friendly TVM screens in SVG/WinForms layout (1280x800) with frosted glass aesthetic, bilingual EN/VI support, and WCAG AA contrast for metro ticketing kiosk.</t>
  </si>
  <si>
    <t>Created glassmorphism token structure, color palettes (Navy, Blue, Teal, Success Green, Danger Red), and 64px touch target layouts for screens S01 to S08.</t>
  </si>
  <si>
    <t>Kept</t>
  </si>
  <si>
    <t>Validated with Chrome rendering, contrast checks (&gt;= 4.5:1), and WinForms DPI scaling tests.</t>
  </si>
  <si>
    <t>2026-10-29</t>
  </si>
  <si>
    <t>Task 7 / Deployment Diagram</t>
  </si>
  <si>
    <t>Write PlantUML deployment diagram for smart ticketing TVM: 3 network boundaries (Station LAN, Operator Network, External Internet) with HTTPS/mTLS and PCI-DSS tokenization.</t>
  </si>
  <si>
    <t>Generated PlantUML script specifying hardware peripherals, mTLS port 443 backend, and webhook callback security.</t>
  </si>
  <si>
    <t>Rendered with Graphviz/PlantUML compiler to PNG, cross-checked against Section 1.1 architecture specification.</t>
  </si>
  <si>
    <t>Task 10 / Demo C# &amp; MSSQL</t>
  </si>
  <si>
    <t>Implement TicketPrinter.cs to render ESC/POS style thermal paper ticket with 1D Code 128 barcode and Luhn-validated 16-digit TicketNumber in C# WinForms .NET 8.</t>
  </si>
  <si>
    <t>Provided GDI+ Bitmap barcode rendering logic and 16-digit Luhn check digit algorithm (DR4/FR16).</t>
  </si>
  <si>
    <t>Tested barcode generation with 100 sample tickets, validated Luhn verification unit test pass.</t>
  </si>
  <si>
    <t>Task 10 / Database MSSQL</t>
  </si>
  <si>
    <t>Write idempotent T-SQL setup script for TvmDemo: Station, Fare, Transaction, Payment, Ticket, and Refund tables with seed data for 10 MRT and 2 Feeder Bus stations.</t>
  </si>
  <si>
    <t>Generated complete DDL with foreign keys, check constraints, indexes, and vw_RecentTransactions view.</t>
  </si>
  <si>
    <t>Changed</t>
  </si>
  <si>
    <t>Executed with sqlcmd on both MSSQLLocalDB and SQLEXPRESS instances, verified zero errors and UTF-8 encoding.</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</si>
  <si>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</si>
  <si>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</si>
  <si>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</si>
  <si>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</si>
  <si>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</si>
  <si>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</si>
  <si>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</si>
  <si>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</si>
  <si>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</si>
  <si>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</si>
  <si>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</si>
  <si>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</si>
  <si>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</si>
  <si>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</si>
  <si>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</si>
  <si>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</si>
  <si>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</si>
  <si>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</si>
  <si>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</si>
  <si>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</si>
  <si>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</si>
  <si>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</si>
  <si>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</si>
  <si>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</si>
  <si>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</si>
  <si>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</si>
  <si>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</si>
  <si>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</si>
  <si>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</si>
  <si>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</si>
  <si>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Rejected</t>
  </si>
  <si>
    <t>Used without validation</t>
  </si>
  <si>
    <t>Every AI output you keep or change must have a validation. The red counter shows prompts with a decision but no validation.</t>
  </si>
  <si>
    <t>Commit and Pull Request Log</t>
  </si>
  <si>
    <t>Record the evidence of collaboration each week. Use the Student ID exactly as in the Team sheet.</t>
  </si>
  <si>
    <t>Week</t>
  </si>
  <si>
    <t>Branch</t>
  </si>
  <si>
    <t>Commits</t>
  </si>
  <si>
    <t>Pull requests</t>
  </si>
  <si>
    <t>What was done / link</t>
  </si>
  <si>
    <t>Week 4</t>
  </si>
  <si>
    <t>2026-10-27</t>
  </si>
  <si>
    <t>feature/ui-ux-design</t>
  </si>
  <si>
    <t>Initial TVM kiosk touch screen wireframes and SVG design tokens (S01-S08)</t>
  </si>
  <si>
    <t>feature/deployment-diagram</t>
  </si>
  <si>
    <t>Add UML deployment diagram with station LAN, mTLS backend and gateway APIs</t>
  </si>
  <si>
    <t>Week 5</t>
  </si>
  <si>
    <t>feature/winforms-mssql-demo</t>
  </si>
  <si>
    <t>Implement C# WinForms MVC app with SQL Server LocalDB/SQLEXPRESS persistence</t>
  </si>
  <si>
    <t>Week 6</t>
  </si>
  <si>
    <t>2026-10-30</t>
  </si>
  <si>
    <t>feature/demo-refinement</t>
  </si>
  <si>
    <t>Add Luhn 16-digit barcode printer, 12-station seed data, and report data grid</t>
  </si>
  <si>
    <t>Weekly Progress Log</t>
  </si>
  <si>
    <t>Fill in at the end of each lab week. Adjust the planned work to your own schedule.</t>
  </si>
  <si>
    <t>Checkpoint</t>
  </si>
  <si>
    <t>Planned for this week</t>
  </si>
  <si>
    <t>What we actually did</t>
  </si>
  <si>
    <t>Evidence (commit / PR / screenshot link)</t>
  </si>
  <si>
    <t>Blockers and help needed</t>
  </si>
  <si>
    <t>Status (team)</t>
  </si>
  <si>
    <t>Lecturer feedback</t>
  </si>
  <si>
    <t>Read the assignment, form the team, set up GitHub, start Clarification Q&amp;A</t>
  </si>
  <si>
    <t>Week 2</t>
  </si>
  <si>
    <t>Requirements specification (FR, NFR with metrics, domain)</t>
  </si>
  <si>
    <t>Week 3</t>
  </si>
  <si>
    <t>Use case model and activity diagrams</t>
  </si>
  <si>
    <t>Sequence, state chart, class diagram; wireframes; architecture</t>
  </si>
  <si>
    <t>Designed 10 TVM touch kiosk mockups (S01-S08) in Figma/SVG and UML Deployment Diagram</t>
  </si>
  <si>
    <t>PR #3 (branch feature/ui-ux-design); diagrams/deployment_diagram.png</t>
  </si>
  <si>
    <t>None</t>
  </si>
  <si>
    <t>Met</t>
  </si>
  <si>
    <t>Forward and backward engineering, Code Map; demo application</t>
  </si>
  <si>
    <t>Implemented .NET 8 WinForms demo, SQL Server setup script, and barcode ticket printer</t>
  </si>
  <si>
    <t>PR #5 (branch feature/winforms-mssql-demo); src/TvmDemo.sln</t>
  </si>
  <si>
    <t>Finish demo, report, readme.txt, self-marking</t>
  </si>
  <si>
    <t>Checkpoints met</t>
  </si>
  <si>
    <t>Update this sheet at the end of every lab week. A short, honest record earns the process mark; a blank log does not.</t>
  </si>
  <si>
    <t>Marking: Self and Lecturer</t>
  </si>
  <si>
    <t>Enter marks out of each task's Max. Yellow = student self-mark, green = lecturer mark.</t>
  </si>
  <si>
    <t>Max (marks)</t>
  </si>
  <si>
    <t>What to check for full marks</t>
  </si>
  <si>
    <t>Student self-mark</t>
  </si>
  <si>
    <t>Lecturer mark</t>
  </si>
  <si>
    <t>Difference (self − lecturer)</t>
  </si>
  <si>
    <t>Student justification / evidence</t>
  </si>
  <si>
    <t>Lecturer comments</t>
  </si>
  <si>
    <t>Thorough questions uncovering hidden complexity, each with a logical assumed answer and a requirement link.</t>
  </si>
  <si>
    <t>Functional, non-functional and domain requirements with IDs. Strict, measurable reliability and response-time limits.</t>
  </si>
  <si>
    <t>Use Case Modeling</t>
  </si>
  <si>
    <t>Correct use case diagram and a detailed description for every use case.</t>
  </si>
  <si>
    <t>Activity Diagrams</t>
  </si>
  <si>
    <t>Buy-a-ticket flow with failures, and a separate payment gateway integration diagram.</t>
  </si>
  <si>
    <t>Detailed System Modeling: Buy a Ticket</t>
  </si>
  <si>
    <t>Sequence, state chart and class diagram: correct, logical and aligned with each other.</t>
  </si>
  <si>
    <t>UI/UX Design</t>
  </si>
  <si>
    <t>Modern, intuitive wireframes or mockups for the TVM screens.</t>
  </si>
  <si>
    <t>10 high-fidelity screens (S01-S08) with WCAG AA compliance, bilingual toggle, large text mode, and full Figma clickable prototype.</t>
  </si>
  <si>
    <t>Architectural Design</t>
  </si>
  <si>
    <t>Logical, modular architecture (MVC or system-in-a-box) suited to the hardware; deployment diagram with API context.</t>
  </si>
  <si>
    <t>Hybrid MVC architecture and 3-tier secure deployment diagram detailing peripherals, mTLS HTTPS, and payment gateway webhooks.</t>
  </si>
  <si>
    <t>Visual Studio Engineering</t>
  </si>
  <si>
    <t>Forward engineering, backward engineering and a Code Map, all shown and explained.</t>
  </si>
  <si>
    <t>GitHub &amp; AI Tooling (Copilot)</t>
  </si>
  <si>
    <t>Rich commit history from all members; Copilot prompts documented with validation of the output.</t>
  </si>
  <si>
    <t>Demo Application (C# and MSSQL)</t>
  </si>
  <si>
    <t>Runs smoothly: input form and output report or success screen for the ticket buying flow.</t>
  </si>
  <si>
    <t>Fully working C# WinForms &amp; MSSQL demo with 12 stations, 16-digit Luhn barcode generation, dynamic 120s QR timer, and joined DB output report.</t>
  </si>
  <si>
    <t>Total (/100)</t>
  </si>
  <si>
    <t>A red difference means self-mark and lecturer mark differ by more than 20% of the task's Max: discuss it in the feedback session.</t>
  </si>
  <si>
    <t>Group Summary and Results</t>
  </si>
  <si>
    <t>Results are calculated from the Marking sheet.</t>
  </si>
  <si>
    <t>Weight of this assignment in QT2</t>
  </si>
  <si>
    <t>Marked by / date</t>
  </si>
  <si>
    <t>Group results</t>
  </si>
  <si>
    <t>Measure</t>
  </si>
  <si>
    <t>Student self-marking</t>
  </si>
  <si>
    <t>Difference</t>
  </si>
  <si>
    <t>Contribution to QT2 (points)</t>
  </si>
  <si>
    <t>Bonus point toward the Final Project (lecturer, 0 or 1)</t>
  </si>
  <si>
    <t>Individual marks</t>
  </si>
  <si>
    <t>Lecturer adjustment factor (0.70-1.00, blank = 1)</t>
  </si>
  <si>
    <t>Individual mark (/100)</t>
  </si>
  <si>
    <t>Individual QT2 points</t>
  </si>
  <si>
    <t>The factor is reduced below 1.00 only when the evidence (Git history, pull requests, progress log, individual questions) shows a clearly smaller contribution.</t>
  </si>
  <si>
    <t>Comments</t>
  </si>
  <si>
    <t>Student reflection (optional)</t>
  </si>
  <si>
    <t>https://www.figma.com/design/chjKyWaJin2KMWQ9iaUzuP/TVM?node-id=0-1&amp;t=MFddgbURntkb09Qw-1</t>
  </si>
  <si>
    <t>deployment_diagram.png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</si>
</sst>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0"/>
  </numFmts>
  <fonts count="10" x14ac:knownFonts="1">
    <font>
      <sz val="11"/>
      <color theme="1"/>
      <name val="Calibri"/>
      <family val="2"/>
      <charset val="1"/>
    </font>
    <font>
      <b/>
      <sz val="15"/>
      <color rgb="FF1F3A5F"/>
      <name val="Arial"/>
      <charset val="1"/>
    </font>
    <font>
      <i/>
      <sz val="10"/>
      <color rgb="FF595959"/>
      <name val="Arial"/>
      <charset val="1"/>
    </font>
    <font>
      <b/>
      <sz val="12"/>
      <color rgb="FF1F3A5F"/>
      <name val="Arial"/>
      <charset val="1"/>
    </font>
    <font>
      <sz val="10"/>
      <color rgb="FF000000"/>
      <name val="Arial"/>
      <charset val="1"/>
    </font>
    <font>
      <sz val="10"/>
      <color rgb="FF0000FF"/>
      <name val="Arial"/>
      <charset val="1"/>
    </font>
    <font>
      <b/>
      <sz val="10"/>
      <color rgb="FFFFFFFF"/>
      <name val="Arial"/>
      <charset val="1"/>
    </font>
    <font>
      <b/>
      <sz val="10"/>
      <color rgb="FF000000"/>
      <name val="Arial"/>
      <charset val="1"/>
    </font>
    <font>
      <i/>
      <sz val="9"/>
      <color rgb="FF595959"/>
      <name val="Arial"/>
      <charset val="1"/>
    </font>
    <font>
      <u/>
      <sz val="11"/>
      <color theme="10"/>
      <name val="Calibri"/>
      <family val="2"/>
      <charset val="1"/>
    </font>
  </fonts>
  <fills count="8">
    <fill>
      <patternFill patternType="none"/>
    </fill>
    <fill>
      <patternFill patternType="gray125"/>
    </fill>
    <fill>
      <patternFill patternType="solid">
        <fgColor rgb="FFFFF4CC"/>
        <bgColor rgb="FFFDE2E2"/>
      </patternFill>
    </fill>
    <fill>
      <patternFill patternType="solid">
        <fgColor rgb="FFDDF0DF"/>
        <bgColor rgb="FFC6EFCE"/>
      </patternFill>
    </fill>
    <fill>
      <patternFill patternType="solid">
        <fgColor rgb="FF1F3A5F"/>
        <bgColor rgb="FF333333"/>
      </patternFill>
    </fill>
    <fill>
      <patternFill patternType="solid">
        <fgColor rgb="FFF2F5FA"/>
        <bgColor rgb="FFFFFFFF"/>
      </patternFill>
    </fill>
    <fill>
      <patternFill patternType="solid">
        <fgColor rgb="FFB45F06"/>
        <bgColor rgb="FF9C5700"/>
      </patternFill>
    </fill>
    <fill>
      <patternFill patternType="solid">
        <fgColor rgb="FF2E7D32"/>
        <bgColor rgb="FF008080"/>
      </patternFill>
    </fill>
  </fills>
  <borders count="4">
    <border>
      <left/>
      <right/>
      <top/>
      <bottom/>
      <diagonal/>
    </border>
    <border>
      <left style="thin">
        <color rgb="FFB7C3D3"/>
      </left>
      <right style="thin">
        <color rgb="FFB7C3D3"/>
      </right>
      <top style="thin">
        <color rgb="FFB7C3D3"/>
      </top>
      <bottom style="thin">
        <color rgb="FFB7C3D3"/>
      </bottom>
      <diagonal/>
    </border>
    <border>
      <left/>
      <right style="thin">
        <color rgb="FFB7C3D3"/>
      </right>
      <top style="thin">
        <color rgb="FFB7C3D3"/>
      </top>
      <bottom style="thin">
        <color rgb="FFB7C3D3"/>
      </bottom>
      <diagonal/>
    </border>
    <border>
      <left/>
      <right/>
      <top style="thin">
        <color rgb="FFB7C3D3"/>
      </top>
      <bottom style="thin">
        <color rgb="FFB7C3D3"/>
      </bottom>
      <diagonal/>
    </border>
  </borders>
  <cellStyleXfs count="2">
    <xf numFmtId="0" fontId="0" fillId="0" borderId="0"/>
    <xf numFmtId="0" fontId="9" fillId="0" borderId="0" applyNumberFormat="0" applyFill="0" applyBorder="0" applyAlignment="0" applyProtection="0"/>
  </cellStyleXfs>
  <cellXfs count="43">
    <xf numFmtId="0" fontId="0" fillId="0" borderId="0" xfId="0"/>
    <xf numFmtId="0" fontId="1" fillId="0" borderId="0" xfId="0" applyFont="1"/>
    <xf numFmtId="0" fontId="2" fillId="0" borderId="0" xfId="0" applyFont="1"/>
    <xf numFmtId="0" fontId="3" fillId="0" borderId="0" xfId="0" applyFont="1"/>
    <xf numFmtId="0" fontId="5" fillId="2" borderId="1" xfId="0" applyFont="1" applyFill="1" applyBorder="1" applyAlignment="1">
      <alignment vertical="top" wrapText="1"/>
    </xf>
    <xf numFmtId="0" fontId="4" fillId="0" borderId="1" xfId="0" applyFont="1" applyBorder="1" applyAlignment="1">
      <alignment vertical="top" wrapText="1"/>
    </xf>
    <xf numFmtId="0" fontId="5" fillId="3" borderId="1" xfId="0" applyFont="1" applyFill="1" applyBorder="1" applyAlignment="1">
      <alignment vertical="top" wrapText="1"/>
    </xf>
    <xf numFmtId="0" fontId="6" fillId="4" borderId="1" xfId="0" applyFont="1" applyFill="1" applyBorder="1" applyAlignment="1">
      <alignment horizontal="center" vertical="center" wrapText="1"/>
    </xf>
    <xf numFmtId="0" fontId="7" fillId="0" borderId="1" xfId="0" applyFont="1" applyBorder="1" applyAlignment="1">
      <alignment vertical="top" wrapText="1"/>
    </xf>
    <xf numFmtId="0" fontId="7" fillId="5" borderId="1" xfId="0" applyFont="1" applyFill="1" applyBorder="1" applyAlignment="1">
      <alignment vertical="top" wrapText="1"/>
    </xf>
    <xf numFmtId="0" fontId="4" fillId="0" borderId="1" xfId="0" applyFont="1" applyBorder="1" applyAlignment="1">
      <alignment horizontal="center" vertical="center" wrapText="1"/>
    </xf>
    <xf numFmtId="0" fontId="6" fillId="6" borderId="1" xfId="0" applyFont="1" applyFill="1" applyBorder="1" applyAlignment="1">
      <alignment horizontal="center" vertical="center" wrapText="1"/>
    </xf>
    <xf numFmtId="9" fontId="5" fillId="2" borderId="1" xfId="0" applyNumberFormat="1" applyFont="1" applyFill="1" applyBorder="1" applyAlignment="1">
      <alignment horizontal="center" vertical="center" wrapText="1"/>
    </xf>
    <xf numFmtId="9" fontId="7" fillId="5" borderId="1" xfId="0" applyNumberFormat="1" applyFont="1" applyFill="1" applyBorder="1" applyAlignment="1">
      <alignment horizontal="center" vertical="center" wrapText="1"/>
    </xf>
    <xf numFmtId="0" fontId="8" fillId="0" borderId="0" xfId="0" applyFont="1"/>
    <xf numFmtId="0" fontId="6" fillId="7"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1" fontId="4" fillId="0" borderId="1" xfId="0" applyNumberFormat="1" applyFont="1" applyBorder="1" applyAlignment="1">
      <alignment horizontal="center" vertical="center" wrapText="1"/>
    </xf>
    <xf numFmtId="0" fontId="7" fillId="0" borderId="1" xfId="0" applyFont="1" applyBorder="1" applyAlignment="1">
      <alignment horizontal="center" vertical="center" wrapText="1"/>
    </xf>
    <xf numFmtId="9" fontId="4" fillId="0" borderId="1" xfId="0" applyNumberFormat="1" applyFont="1" applyBorder="1" applyAlignment="1">
      <alignment horizontal="center" vertical="center" wrapText="1"/>
    </xf>
    <xf numFmtId="0" fontId="5" fillId="2"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0" borderId="1" xfId="0" applyFont="1" applyBorder="1" applyAlignment="1">
      <alignment vertical="top" wrapText="1"/>
    </xf>
    <xf numFmtId="164" fontId="5" fillId="2" borderId="1" xfId="0" applyNumberFormat="1" applyFont="1" applyFill="1" applyBorder="1" applyAlignment="1">
      <alignment horizontal="center" vertical="center" wrapText="1"/>
    </xf>
    <xf numFmtId="164" fontId="5" fillId="3" borderId="1" xfId="0" applyNumberFormat="1" applyFont="1" applyFill="1" applyBorder="1" applyAlignment="1">
      <alignment horizontal="center" vertical="center" wrapText="1"/>
    </xf>
    <xf numFmtId="165" fontId="4" fillId="0" borderId="1" xfId="0" applyNumberFormat="1" applyFont="1" applyBorder="1" applyAlignment="1">
      <alignment horizontal="center" vertical="center" wrapText="1"/>
    </xf>
    <xf numFmtId="0" fontId="4" fillId="5" borderId="1" xfId="0" applyFont="1" applyFill="1" applyBorder="1" applyAlignment="1">
      <alignment vertical="top" wrapText="1"/>
    </xf>
    <xf numFmtId="164" fontId="7" fillId="5" borderId="1" xfId="0" applyNumberFormat="1" applyFont="1" applyFill="1" applyBorder="1" applyAlignment="1">
      <alignment horizontal="center" vertical="center" wrapText="1"/>
    </xf>
    <xf numFmtId="165" fontId="7" fillId="5" borderId="1" xfId="0" applyNumberFormat="1" applyFont="1" applyFill="1" applyBorder="1" applyAlignment="1">
      <alignment horizontal="center" vertical="center" wrapText="1"/>
    </xf>
    <xf numFmtId="9" fontId="5" fillId="0" borderId="1" xfId="0" applyNumberFormat="1" applyFont="1" applyBorder="1" applyAlignment="1">
      <alignment horizontal="center" vertical="center" wrapText="1"/>
    </xf>
    <xf numFmtId="164" fontId="4" fillId="0" borderId="1" xfId="0" applyNumberFormat="1" applyFont="1" applyBorder="1" applyAlignment="1">
      <alignment horizontal="center" vertical="center" wrapText="1"/>
    </xf>
    <xf numFmtId="2" fontId="5" fillId="3" borderId="1" xfId="0" applyNumberFormat="1" applyFont="1" applyFill="1" applyBorder="1" applyAlignment="1">
      <alignment horizontal="center" vertical="center" wrapText="1"/>
    </xf>
    <xf numFmtId="2" fontId="7" fillId="0" borderId="1" xfId="0" applyNumberFormat="1" applyFont="1" applyBorder="1" applyAlignment="1">
      <alignment horizontal="center" vertical="center" wrapText="1"/>
    </xf>
    <xf numFmtId="2" fontId="4" fillId="0" borderId="1" xfId="0" applyNumberFormat="1" applyFont="1" applyBorder="1" applyAlignment="1">
      <alignment horizontal="center" vertical="center" wrapText="1"/>
    </xf>
    <xf numFmtId="0" fontId="4" fillId="0" borderId="0" xfId="0" applyFont="1" applyAlignment="1">
      <alignment vertical="top" wrapText="1"/>
    </xf>
    <xf numFmtId="0" fontId="0" fillId="0" borderId="0" xfId="0"/>
    <xf numFmtId="0" fontId="5" fillId="2" borderId="1" xfId="0" applyFont="1" applyFill="1" applyBorder="1" applyAlignment="1">
      <alignment vertical="top" wrapText="1"/>
    </xf>
    <xf numFmtId="0" fontId="0" fillId="0" borderId="2" xfId="0" applyBorder="1"/>
    <xf numFmtId="0" fontId="4" fillId="0" borderId="1" xfId="0" applyFont="1" applyBorder="1" applyAlignment="1">
      <alignment horizontal="center" vertical="center" wrapText="1"/>
    </xf>
    <xf numFmtId="0" fontId="0" fillId="0" borderId="3" xfId="0" applyBorder="1"/>
    <xf numFmtId="0" fontId="4" fillId="0" borderId="1" xfId="0" applyFont="1" applyBorder="1" applyAlignment="1">
      <alignment vertical="top" wrapText="1"/>
    </xf>
    <xf numFmtId="0" fontId="5" fillId="3" borderId="1" xfId="0" applyFont="1" applyFill="1" applyBorder="1" applyAlignment="1">
      <alignment vertical="top" wrapText="1"/>
    </xf>
    <xf numFmtId="0" fontId="9" fillId="2" borderId="1" xfId="1" applyFill="1" applyBorder="1" applyAlignment="1">
      <alignment vertical="top" wrapText="1"/>
    </xf>
  </cellXfs>
  <cellStyles count="2">
    <cellStyle name="Bình thường" xfId="0" builtinId="0"/>
    <cellStyle name="Siêu kết nối" xfId="1" builtinId="8"/>
  </cellStyles>
  <dxfs count="10">
    <dxf>
      <font>
        <b/>
        <color rgb="FF9C0006"/>
        <name val="Arial"/>
        <charset val="1"/>
      </font>
      <fill>
        <patternFill>
          <bgColor rgb="FFFDE2E2"/>
        </patternFill>
      </fill>
    </dxf>
    <dxf>
      <font>
        <b/>
        <color rgb="FF9C0006"/>
        <name val="Arial"/>
        <charset val="1"/>
      </font>
      <fill>
        <patternFill>
          <bgColor rgb="FFFDE2E2"/>
        </patternFill>
      </fill>
    </dxf>
    <dxf>
      <font>
        <b/>
        <color rgb="FF9C0006"/>
        <name val="Arial"/>
        <charset val="1"/>
      </font>
      <fill>
        <patternFill>
          <bgColor rgb="FFFFC7CE"/>
        </patternFill>
      </fill>
    </dxf>
    <dxf>
      <font>
        <b/>
        <color rgb="FF9C5700"/>
        <name val="Arial"/>
        <charset val="1"/>
      </font>
      <fill>
        <patternFill>
          <bgColor rgb="FFFFEB9C"/>
        </patternFill>
      </fill>
    </dxf>
    <dxf>
      <font>
        <b/>
        <color rgb="FF006100"/>
        <name val="Arial"/>
        <charset val="1"/>
      </font>
      <fill>
        <patternFill>
          <bgColor rgb="FFC6EFCE"/>
        </patternFill>
      </fill>
    </dxf>
    <dxf>
      <font>
        <b/>
        <color rgb="FF9C0006"/>
        <name val="Arial"/>
        <charset val="1"/>
      </font>
      <fill>
        <patternFill>
          <bgColor rgb="FFFDE2E2"/>
        </patternFill>
      </fill>
    </dxf>
    <dxf>
      <font>
        <b/>
        <color rgb="FF9C0006"/>
        <name val="Arial"/>
        <charset val="1"/>
      </font>
      <fill>
        <patternFill>
          <bgColor rgb="FFFDE2E2"/>
        </patternFill>
      </fill>
    </dxf>
    <dxf>
      <font>
        <b/>
        <color rgb="FF9C0006"/>
        <name val="Arial"/>
        <charset val="1"/>
      </font>
      <fill>
        <patternFill>
          <bgColor rgb="FFFDE2E2"/>
        </patternFill>
      </fill>
    </dxf>
    <dxf>
      <font>
        <b/>
        <color rgb="FF9C0006"/>
        <name val="Arial"/>
        <charset val="1"/>
      </font>
      <fill>
        <patternFill>
          <bgColor rgb="FFFDE2E2"/>
        </patternFill>
      </fill>
    </dxf>
    <dxf>
      <font>
        <b/>
        <color rgb="FF9C0006"/>
        <name val="Arial"/>
        <charset val="1"/>
      </font>
      <fill>
        <patternFill>
          <bgColor rgb="FFFDE2E2"/>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B45F06"/>
      <rgbColor rgb="FF800080"/>
      <rgbColor rgb="FF008080"/>
      <rgbColor rgb="FFB7C3D3"/>
      <rgbColor rgb="FF808080"/>
      <rgbColor rgb="FF9999FF"/>
      <rgbColor rgb="FF993366"/>
      <rgbColor rgb="FFFFF4CC"/>
      <rgbColor rgb="FFDDF0DF"/>
      <rgbColor rgb="FF660066"/>
      <rgbColor rgb="FFFF8080"/>
      <rgbColor rgb="FF0066CC"/>
      <rgbColor rgb="FFFDE2E2"/>
      <rgbColor rgb="FF000080"/>
      <rgbColor rgb="FFFF00FF"/>
      <rgbColor rgb="FFFFFF00"/>
      <rgbColor rgb="FF00FFFF"/>
      <rgbColor rgb="FF800080"/>
      <rgbColor rgb="FF800000"/>
      <rgbColor rgb="FF008080"/>
      <rgbColor rgb="FF0000FF"/>
      <rgbColor rgb="FF00CCFF"/>
      <rgbColor rgb="FFF2F5FA"/>
      <rgbColor rgb="FFC6EFCE"/>
      <rgbColor rgb="FFFFEB9C"/>
      <rgbColor rgb="FF99CCFF"/>
      <rgbColor rgb="FFFF99CC"/>
      <rgbColor rgb="FFCC99FF"/>
      <rgbColor rgb="FFFFC7CE"/>
      <rgbColor rgb="FF3366FF"/>
      <rgbColor rgb="FF33CCCC"/>
      <rgbColor rgb="FF99CC00"/>
      <rgbColor rgb="FFFFCC00"/>
      <rgbColor rgb="FFFF9900"/>
      <rgbColor rgb="FFFF6600"/>
      <rgbColor rgb="FF595959"/>
      <rgbColor rgb="FF969696"/>
      <rgbColor rgb="FF1F3A5F"/>
      <rgbColor rgb="FF2E7D32"/>
      <rgbColor rgb="FF003300"/>
      <rgbColor rgb="FF333300"/>
      <rgbColor rgb="FF9C57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hyperlink" Target="https://www.figma.com/design/chjKyWaJin2KMWQ9iaUzuP/TVM?node-id=0-1&amp;t=MFddgbURntkb09Qw-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30"/>
  <sheetViews>
    <sheetView showGridLines="0" topLeftCell="A11" zoomScaleNormal="100" workbookViewId="0"/>
  </sheetViews>
  <sheetFormatPr defaultColWidth="8.7109375" defaultRowHeight="15" x14ac:dyDescent="0.25"/>
  <cols>
    <col min="1" max="1" width="30" customWidth="1"/>
    <col min="2" max="2" width="40" customWidth="1"/>
    <col min="3" max="3" width="52" customWidth="1"/>
    <col min="4" max="4" width="28" customWidth="1"/>
  </cols>
  <sheetData>
    <row r="1" spans="1:4" ht="19.5" customHeight="1" x14ac:dyDescent="0.3">
      <c r="A1" s="1" t="s">
        <v>0</v>
      </c>
    </row>
    <row r="2" spans="1:4" x14ac:dyDescent="0.25">
      <c r="A2" s="2" t="s">
        <v>1</v>
      </c>
    </row>
    <row r="4" spans="1:4" ht="15.75" customHeight="1" x14ac:dyDescent="0.25">
      <c r="A4" s="3" t="s">
        <v>2</v>
      </c>
    </row>
    <row r="5" spans="1:4" ht="63.75" customHeight="1" x14ac:dyDescent="0.25">
      <c r="A5" s="34" t="s">
        <v>3</v>
      </c>
      <c r="B5" s="35"/>
      <c r="C5" s="35"/>
      <c r="D5" s="35"/>
    </row>
    <row r="7" spans="1:4" ht="15.75" customHeight="1" x14ac:dyDescent="0.25">
      <c r="A7" s="3" t="s">
        <v>4</v>
      </c>
    </row>
    <row r="8" spans="1:4" ht="31.5" customHeight="1" x14ac:dyDescent="0.25">
      <c r="A8" s="34" t="s">
        <v>5</v>
      </c>
      <c r="B8" s="35"/>
      <c r="C8" s="35"/>
      <c r="D8" s="35"/>
    </row>
    <row r="9" spans="1:4" ht="31.5" customHeight="1" x14ac:dyDescent="0.25">
      <c r="A9" s="34" t="s">
        <v>6</v>
      </c>
      <c r="B9" s="35"/>
      <c r="C9" s="35"/>
      <c r="D9" s="35"/>
    </row>
    <row r="10" spans="1:4" ht="31.5" customHeight="1" x14ac:dyDescent="0.25">
      <c r="A10" s="34" t="s">
        <v>7</v>
      </c>
      <c r="B10" s="35"/>
      <c r="C10" s="35"/>
      <c r="D10" s="35"/>
    </row>
    <row r="11" spans="1:4" ht="31.5" customHeight="1" x14ac:dyDescent="0.25">
      <c r="A11" s="34" t="s">
        <v>8</v>
      </c>
      <c r="B11" s="35"/>
      <c r="C11" s="35"/>
      <c r="D11" s="35"/>
    </row>
    <row r="13" spans="1:4" ht="15.75" customHeight="1" x14ac:dyDescent="0.25">
      <c r="A13" s="3" t="s">
        <v>9</v>
      </c>
    </row>
    <row r="14" spans="1:4" x14ac:dyDescent="0.25">
      <c r="A14" s="4" t="s">
        <v>10</v>
      </c>
      <c r="B14" s="5" t="s">
        <v>11</v>
      </c>
    </row>
    <row r="15" spans="1:4" x14ac:dyDescent="0.25">
      <c r="A15" s="6" t="s">
        <v>12</v>
      </c>
      <c r="B15" s="5" t="s">
        <v>13</v>
      </c>
    </row>
    <row r="16" spans="1:4" x14ac:dyDescent="0.25">
      <c r="A16" s="5" t="s">
        <v>14</v>
      </c>
      <c r="B16" s="5" t="s">
        <v>15</v>
      </c>
    </row>
    <row r="18" spans="1:4" ht="15.75" customHeight="1" x14ac:dyDescent="0.25">
      <c r="A18" s="3" t="s">
        <v>16</v>
      </c>
    </row>
    <row r="19" spans="1:4" x14ac:dyDescent="0.25">
      <c r="A19" s="7" t="s">
        <v>17</v>
      </c>
      <c r="B19" s="7" t="s">
        <v>18</v>
      </c>
      <c r="C19" s="7" t="s">
        <v>19</v>
      </c>
      <c r="D19" s="7" t="s">
        <v>20</v>
      </c>
    </row>
    <row r="20" spans="1:4" ht="31.5" customHeight="1" x14ac:dyDescent="0.25">
      <c r="A20" s="8" t="s">
        <v>21</v>
      </c>
      <c r="B20" s="5" t="s">
        <v>22</v>
      </c>
      <c r="C20" s="5" t="s">
        <v>23</v>
      </c>
      <c r="D20" s="5" t="s">
        <v>24</v>
      </c>
    </row>
    <row r="21" spans="1:4" ht="31.5" customHeight="1" x14ac:dyDescent="0.25">
      <c r="A21" s="8" t="s">
        <v>25</v>
      </c>
      <c r="B21" s="5" t="s">
        <v>26</v>
      </c>
      <c r="C21" s="5" t="s">
        <v>27</v>
      </c>
      <c r="D21" s="5" t="s">
        <v>28</v>
      </c>
    </row>
    <row r="22" spans="1:4" ht="31.5" customHeight="1" x14ac:dyDescent="0.25">
      <c r="A22" s="8" t="s">
        <v>29</v>
      </c>
      <c r="B22" s="5" t="s">
        <v>30</v>
      </c>
      <c r="C22" s="5" t="s">
        <v>31</v>
      </c>
      <c r="D22" s="5" t="s">
        <v>32</v>
      </c>
    </row>
    <row r="23" spans="1:4" ht="31.5" customHeight="1" x14ac:dyDescent="0.25">
      <c r="A23" s="8" t="s">
        <v>33</v>
      </c>
      <c r="B23" s="5" t="s">
        <v>34</v>
      </c>
      <c r="C23" s="5" t="s">
        <v>35</v>
      </c>
      <c r="D23" s="5" t="s">
        <v>36</v>
      </c>
    </row>
    <row r="24" spans="1:4" ht="31.5" customHeight="1" x14ac:dyDescent="0.25">
      <c r="A24" s="8" t="s">
        <v>37</v>
      </c>
      <c r="B24" s="5" t="s">
        <v>38</v>
      </c>
      <c r="C24" s="5" t="s">
        <v>39</v>
      </c>
      <c r="D24" s="5" t="s">
        <v>40</v>
      </c>
    </row>
    <row r="25" spans="1:4" ht="31.5" customHeight="1" x14ac:dyDescent="0.25">
      <c r="A25" s="8" t="s">
        <v>41</v>
      </c>
      <c r="B25" s="5" t="s">
        <v>42</v>
      </c>
      <c r="C25" s="5" t="s">
        <v>43</v>
      </c>
      <c r="D25" s="5" t="s">
        <v>44</v>
      </c>
    </row>
    <row r="26" spans="1:4" ht="31.5" customHeight="1" x14ac:dyDescent="0.25">
      <c r="A26" s="8" t="s">
        <v>45</v>
      </c>
      <c r="B26" s="5" t="s">
        <v>46</v>
      </c>
      <c r="C26" s="5" t="s">
        <v>47</v>
      </c>
      <c r="D26" s="5" t="s">
        <v>40</v>
      </c>
    </row>
    <row r="27" spans="1:4" ht="31.5" customHeight="1" x14ac:dyDescent="0.25">
      <c r="A27" s="8" t="s">
        <v>48</v>
      </c>
      <c r="B27" s="5" t="s">
        <v>49</v>
      </c>
      <c r="C27" s="5" t="s">
        <v>50</v>
      </c>
      <c r="D27" s="5" t="s">
        <v>51</v>
      </c>
    </row>
    <row r="28" spans="1:4" ht="31.5" customHeight="1" x14ac:dyDescent="0.25">
      <c r="A28" s="8" t="s">
        <v>52</v>
      </c>
      <c r="B28" s="5" t="s">
        <v>53</v>
      </c>
      <c r="C28" s="5" t="s">
        <v>54</v>
      </c>
      <c r="D28" s="5" t="s">
        <v>51</v>
      </c>
    </row>
    <row r="29" spans="1:4" ht="31.5" customHeight="1" x14ac:dyDescent="0.25">
      <c r="A29" s="8" t="s">
        <v>55</v>
      </c>
      <c r="B29" s="5" t="s">
        <v>56</v>
      </c>
      <c r="C29" s="5" t="s">
        <v>57</v>
      </c>
      <c r="D29" s="5" t="s">
        <v>58</v>
      </c>
    </row>
    <row r="30" spans="1:4" ht="31.5" customHeight="1" x14ac:dyDescent="0.25">
      <c r="A30" s="8" t="s">
        <v>59</v>
      </c>
      <c r="B30" s="5" t="s">
        <v>60</v>
      </c>
      <c r="C30" s="5" t="s">
        <v>57</v>
      </c>
      <c r="D30" s="5" t="s">
        <v>58</v>
      </c>
    </row>
  </sheetData>
  <mergeCells count="5">
    <mergeCell ref="A5:D5"/>
    <mergeCell ref="A9:D9"/>
    <mergeCell ref="A8:D8"/>
    <mergeCell ref="A11:D11"/>
    <mergeCell ref="A10:D10"/>
  </mergeCells>
  <pageMargins left="0.75" right="0.75" top="1" bottom="1"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19"/>
  <sheetViews>
    <sheetView showGridLines="0" zoomScaleNormal="100" workbookViewId="0"/>
  </sheetViews>
  <sheetFormatPr defaultColWidth="8.7109375" defaultRowHeight="15" x14ac:dyDescent="0.25"/>
  <cols>
    <col min="1" max="1" width="12" customWidth="1"/>
    <col min="2" max="2" width="26" customWidth="1"/>
    <col min="3" max="3" width="16" customWidth="1"/>
    <col min="4" max="4" width="30" customWidth="1"/>
    <col min="5" max="5" width="16" customWidth="1"/>
    <col min="6" max="6" width="14" customWidth="1"/>
    <col min="7" max="7" width="26" customWidth="1"/>
  </cols>
  <sheetData>
    <row r="1" spans="1:7" ht="19.5" customHeight="1" x14ac:dyDescent="0.3">
      <c r="A1" s="1" t="s">
        <v>61</v>
      </c>
    </row>
    <row r="2" spans="1:7" x14ac:dyDescent="0.25">
      <c r="A2" s="2" t="s">
        <v>62</v>
      </c>
    </row>
    <row r="4" spans="1:7" ht="25.5" customHeight="1" x14ac:dyDescent="0.25">
      <c r="A4" s="9" t="s">
        <v>63</v>
      </c>
      <c r="B4" s="36"/>
      <c r="C4" s="37"/>
    </row>
    <row r="5" spans="1:7" x14ac:dyDescent="0.25">
      <c r="A5" s="9" t="s">
        <v>64</v>
      </c>
      <c r="B5" s="36"/>
      <c r="C5" s="39"/>
      <c r="D5" s="37"/>
    </row>
    <row r="6" spans="1:7" x14ac:dyDescent="0.25">
      <c r="A6" s="9" t="s">
        <v>65</v>
      </c>
      <c r="B6" s="10">
        <f>COUNTA(C11:C15)</f>
        <v>1</v>
      </c>
    </row>
    <row r="7" spans="1:7" x14ac:dyDescent="0.25">
      <c r="A7" s="9" t="s">
        <v>66</v>
      </c>
      <c r="B7" s="38" t="str">
        <f>IF(AND(B6&gt;=3,B6&lt;=5),"OK","Group must have 3 to 5 students")</f>
        <v>Group must have 3 to 5 students</v>
      </c>
      <c r="C7" s="39"/>
      <c r="D7" s="37"/>
    </row>
    <row r="9" spans="1:7" ht="15.75" customHeight="1" x14ac:dyDescent="0.25">
      <c r="A9" s="3" t="s">
        <v>67</v>
      </c>
    </row>
    <row r="10" spans="1:7" ht="39.75" customHeight="1" x14ac:dyDescent="0.25">
      <c r="A10" s="7" t="s">
        <v>68</v>
      </c>
      <c r="B10" s="11" t="s">
        <v>69</v>
      </c>
      <c r="C10" s="11" t="s">
        <v>70</v>
      </c>
      <c r="D10" s="11" t="s">
        <v>71</v>
      </c>
      <c r="E10" s="11" t="s">
        <v>72</v>
      </c>
      <c r="F10" s="7" t="s">
        <v>73</v>
      </c>
      <c r="G10" s="7" t="s">
        <v>74</v>
      </c>
    </row>
    <row r="11" spans="1:7" x14ac:dyDescent="0.25">
      <c r="A11" s="9" t="s">
        <v>75</v>
      </c>
      <c r="B11" s="4"/>
      <c r="C11" s="4"/>
      <c r="D11" s="4"/>
      <c r="E11" s="12"/>
      <c r="F11" s="10" t="str">
        <f>IF(C11="","",SUMIF('Commit Log'!$C$5:$C$64,C11,'Commit Log'!$E$5:$E$64))</f>
        <v/>
      </c>
      <c r="G11" s="10" t="str">
        <f>IF(C11="","",IF(AND(ISNUMBER(F11),F11&gt;0),"OK","No commits yet"))</f>
        <v/>
      </c>
    </row>
    <row r="12" spans="1:7" x14ac:dyDescent="0.25">
      <c r="A12" s="9" t="s">
        <v>76</v>
      </c>
      <c r="B12" s="4"/>
      <c r="C12" s="4"/>
      <c r="D12" s="4"/>
      <c r="E12" s="12"/>
      <c r="F12" s="10" t="str">
        <f>IF(C12="","",SUMIF('Commit Log'!$C$5:$C$64,C12,'Commit Log'!$E$5:$E$64))</f>
        <v/>
      </c>
      <c r="G12" s="10" t="str">
        <f>IF(C12="","",IF(AND(ISNUMBER(F12),F12&gt;0),"OK","No commits yet"))</f>
        <v/>
      </c>
    </row>
    <row r="13" spans="1:7" x14ac:dyDescent="0.25">
      <c r="A13" s="9" t="s">
        <v>77</v>
      </c>
      <c r="B13" s="4"/>
      <c r="C13" s="4"/>
      <c r="D13" s="4"/>
      <c r="E13" s="12"/>
      <c r="F13" s="10" t="str">
        <f>IF(C13="","",SUMIF('Commit Log'!$C$5:$C$64,C13,'Commit Log'!$E$5:$E$64))</f>
        <v/>
      </c>
      <c r="G13" s="10" t="str">
        <f>IF(C13="","",IF(AND(ISNUMBER(F13),F13&gt;0),"OK","No commits yet"))</f>
        <v/>
      </c>
    </row>
    <row r="14" spans="1:7" x14ac:dyDescent="0.25">
      <c r="A14" s="9" t="s">
        <v>78</v>
      </c>
      <c r="B14" s="4"/>
      <c r="C14" s="4"/>
      <c r="D14" s="4"/>
      <c r="E14" s="12"/>
      <c r="F14" s="10" t="str">
        <f>IF(C14="","",SUMIF('Commit Log'!$C$5:$C$64,C14,'Commit Log'!$E$5:$E$64))</f>
        <v/>
      </c>
      <c r="G14" s="10" t="str">
        <f>IF(C14="","",IF(AND(ISNUMBER(F14),F14&gt;0),"OK","No commits yet"))</f>
        <v/>
      </c>
    </row>
    <row r="15" spans="1:7" ht="51" x14ac:dyDescent="0.25">
      <c r="A15" s="9" t="s">
        <v>79</v>
      </c>
      <c r="B15" s="4" t="s">
        <v>80</v>
      </c>
      <c r="C15" s="4" t="s">
        <v>81</v>
      </c>
      <c r="D15" s="4" t="s">
        <v>82</v>
      </c>
      <c r="E15" s="12">
        <v>0.2</v>
      </c>
      <c r="F15" s="10">
        <f>IF(C15="","",SUMIF('Commit Log'!$C$5:$C$64,C15,'Commit Log'!$E$5:$E$64))</f>
        <v>12</v>
      </c>
      <c r="G15" s="10" t="str">
        <f>IF(C15="","",IF(AND(ISNUMBER(F15),F15&gt;0),"OK","No commits yet"))</f>
        <v>OK</v>
      </c>
    </row>
    <row r="16" spans="1:7" x14ac:dyDescent="0.25">
      <c r="D16" s="9" t="s">
        <v>83</v>
      </c>
      <c r="E16" s="13">
        <f>SUM(E11:E15)</f>
        <v>0.2</v>
      </c>
    </row>
    <row r="17" spans="1:5" x14ac:dyDescent="0.25">
      <c r="D17" s="9" t="s">
        <v>74</v>
      </c>
      <c r="E17" s="10" t="str">
        <f>IF(ROUND(E16,4)=1,"OK","Must total 100%")</f>
        <v>Must total 100%</v>
      </c>
    </row>
    <row r="19" spans="1:5" x14ac:dyDescent="0.25">
      <c r="A19" s="14" t="s">
        <v>84</v>
      </c>
    </row>
  </sheetData>
  <mergeCells count="3">
    <mergeCell ref="B4:C4"/>
    <mergeCell ref="B7:D7"/>
    <mergeCell ref="B5:D5"/>
  </mergeCells>
  <conditionalFormatting sqref="B7">
    <cfRule type="expression" dxfId="9" priority="2">
      <formula>B7&lt;&gt;"OK"</formula>
    </cfRule>
  </conditionalFormatting>
  <conditionalFormatting sqref="E17">
    <cfRule type="expression" dxfId="8" priority="4">
      <formula>E17&lt;&gt;"OK"</formula>
    </cfRule>
  </conditionalFormatting>
  <conditionalFormatting sqref="G11:G15">
    <cfRule type="expression" dxfId="7" priority="3">
      <formula>G11="No commits yet"</formula>
    </cfRule>
  </conditionalFormatting>
  <dataValidations count="1">
    <dataValidation type="decimal" allowBlank="1" showErrorMessage="1" error="Enter a percentage from 0% to 100%." sqref="E11:E15" xr:uid="{00000000-0002-0000-0100-000000000000}">
      <formula1>0</formula1>
      <formula2>1</formula2>
    </dataValidation>
  </dataValidations>
  <pageMargins left="0.75" right="0.75" top="1" bottom="1"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J35"/>
  <sheetViews>
    <sheetView showGridLines="0" zoomScaleNormal="100" workbookViewId="0">
      <pane xSplit="3" ySplit="4" topLeftCell="D24" activePane="bottomRight" state="frozen"/>
      <selection pane="topRight" activeCell="D1" sqref="D1"/>
      <selection pane="bottomLeft" activeCell="A5" sqref="A5"/>
      <selection pane="bottomRight" activeCell="D10" sqref="D10"/>
    </sheetView>
  </sheetViews>
  <sheetFormatPr defaultColWidth="8.7109375" defaultRowHeight="15" x14ac:dyDescent="0.25"/>
  <cols>
    <col min="1" max="1" width="7" customWidth="1"/>
    <col min="2" max="2" width="16" customWidth="1"/>
    <col min="3" max="3" width="36" customWidth="1"/>
    <col min="4" max="4" width="40" customWidth="1"/>
    <col min="5" max="5" width="16" customWidth="1"/>
    <col min="6" max="6" width="40" customWidth="1"/>
    <col min="7" max="7" width="34" customWidth="1"/>
    <col min="8" max="8" width="14" customWidth="1"/>
    <col min="9" max="9" width="12" customWidth="1"/>
    <col min="10" max="10" width="26" customWidth="1"/>
  </cols>
  <sheetData>
    <row r="1" spans="1:10" ht="19.5" customHeight="1" x14ac:dyDescent="0.3">
      <c r="A1" s="1" t="s">
        <v>85</v>
      </c>
    </row>
    <row r="2" spans="1:10" x14ac:dyDescent="0.25">
      <c r="A2" s="2" t="s">
        <v>86</v>
      </c>
    </row>
    <row r="4" spans="1:10" ht="48" customHeight="1" x14ac:dyDescent="0.25">
      <c r="A4" s="7" t="s">
        <v>87</v>
      </c>
      <c r="B4" s="11" t="s">
        <v>88</v>
      </c>
      <c r="C4" s="11" t="s">
        <v>89</v>
      </c>
      <c r="D4" s="11" t="s">
        <v>90</v>
      </c>
      <c r="E4" s="11" t="s">
        <v>91</v>
      </c>
      <c r="F4" s="11" t="s">
        <v>92</v>
      </c>
      <c r="G4" s="11" t="s">
        <v>93</v>
      </c>
      <c r="H4" s="11" t="s">
        <v>94</v>
      </c>
      <c r="I4" s="11" t="s">
        <v>95</v>
      </c>
      <c r="J4" s="15" t="s">
        <v>96</v>
      </c>
    </row>
    <row r="5" spans="1:10" ht="55.5" customHeight="1" x14ac:dyDescent="0.25">
      <c r="A5" s="16" t="s">
        <v>97</v>
      </c>
      <c r="B5" s="4"/>
      <c r="C5" s="4"/>
      <c r="D5" s="4"/>
      <c r="E5" s="4"/>
      <c r="F5" s="4"/>
      <c r="G5" s="4"/>
      <c r="H5" s="4"/>
      <c r="I5" s="4"/>
      <c r="J5" s="6"/>
    </row>
    <row r="6" spans="1:10" ht="55.5" customHeight="1" x14ac:dyDescent="0.25">
      <c r="A6" s="16" t="s">
        <v>98</v>
      </c>
      <c r="B6" s="4"/>
      <c r="C6" s="4"/>
      <c r="D6" s="4"/>
      <c r="E6" s="4"/>
      <c r="F6" s="4"/>
      <c r="G6" s="4"/>
      <c r="H6" s="4"/>
      <c r="I6" s="4"/>
      <c r="J6" s="6"/>
    </row>
    <row r="7" spans="1:10" ht="55.5" customHeight="1" x14ac:dyDescent="0.25">
      <c r="A7" s="16" t="s">
        <v>99</v>
      </c>
      <c r="B7" s="4"/>
      <c r="C7" s="4"/>
      <c r="D7" s="4"/>
      <c r="E7" s="4"/>
      <c r="F7" s="4"/>
      <c r="G7" s="4"/>
      <c r="H7" s="4"/>
      <c r="I7" s="4"/>
      <c r="J7" s="6"/>
    </row>
    <row r="8" spans="1:10" ht="55.5" customHeight="1" x14ac:dyDescent="0.25">
      <c r="A8" s="16" t="s">
        <v>100</v>
      </c>
      <c r="B8" s="4"/>
      <c r="C8" s="4"/>
      <c r="D8" s="4"/>
      <c r="E8" s="4"/>
      <c r="F8" s="4"/>
      <c r="G8" s="4"/>
      <c r="H8" s="4"/>
      <c r="I8" s="4"/>
      <c r="J8" s="6"/>
    </row>
    <row r="9" spans="1:10" ht="55.5" customHeight="1" x14ac:dyDescent="0.25">
      <c r="A9" s="16" t="s">
        <v>101</v>
      </c>
      <c r="B9" s="4"/>
      <c r="C9" s="4"/>
      <c r="D9" s="4"/>
      <c r="E9" s="4"/>
      <c r="F9" s="4"/>
      <c r="G9" s="4"/>
      <c r="H9" s="4"/>
      <c r="I9" s="4"/>
      <c r="J9" s="6"/>
    </row>
    <row r="10" spans="1:10" ht="55.5" customHeight="1" x14ac:dyDescent="0.25">
      <c r="A10" s="16" t="s">
        <v>102</v>
      </c>
      <c r="B10" s="4"/>
      <c r="C10" s="4"/>
      <c r="D10" s="4"/>
      <c r="E10" s="4"/>
      <c r="F10" s="4"/>
      <c r="G10" s="4"/>
      <c r="H10" s="4"/>
      <c r="I10" s="4"/>
      <c r="J10" s="6"/>
    </row>
    <row r="11" spans="1:10" ht="55.5" customHeight="1" x14ac:dyDescent="0.25">
      <c r="A11" s="16" t="s">
        <v>103</v>
      </c>
      <c r="B11" s="4"/>
      <c r="C11" s="4"/>
      <c r="D11" s="4"/>
      <c r="E11" s="4"/>
      <c r="F11" s="4"/>
      <c r="G11" s="4"/>
      <c r="H11" s="4"/>
      <c r="I11" s="4"/>
      <c r="J11" s="6"/>
    </row>
    <row r="12" spans="1:10" ht="55.5" customHeight="1" x14ac:dyDescent="0.25">
      <c r="A12" s="16" t="s">
        <v>104</v>
      </c>
      <c r="B12" s="4"/>
      <c r="C12" s="4"/>
      <c r="D12" s="4"/>
      <c r="E12" s="4"/>
      <c r="F12" s="4"/>
      <c r="G12" s="4"/>
      <c r="H12" s="4"/>
      <c r="I12" s="4"/>
      <c r="J12" s="6"/>
    </row>
    <row r="13" spans="1:10" ht="55.5" customHeight="1" x14ac:dyDescent="0.25">
      <c r="A13" s="16" t="s">
        <v>105</v>
      </c>
      <c r="B13" s="4"/>
      <c r="C13" s="4"/>
      <c r="D13" s="4"/>
      <c r="E13" s="4"/>
      <c r="F13" s="4"/>
      <c r="G13" s="4"/>
      <c r="H13" s="4"/>
      <c r="I13" s="4"/>
      <c r="J13" s="6"/>
    </row>
    <row r="14" spans="1:10" ht="55.5" customHeight="1" x14ac:dyDescent="0.25">
      <c r="A14" s="16" t="s">
        <v>106</v>
      </c>
      <c r="B14" s="4"/>
      <c r="C14" s="4"/>
      <c r="D14" s="4"/>
      <c r="E14" s="4"/>
      <c r="F14" s="4"/>
      <c r="G14" s="4"/>
      <c r="H14" s="4"/>
      <c r="I14" s="4"/>
      <c r="J14" s="6"/>
    </row>
    <row r="15" spans="1:10" ht="55.5" customHeight="1" x14ac:dyDescent="0.25">
      <c r="A15" s="16" t="s">
        <v>107</v>
      </c>
      <c r="B15" s="4"/>
      <c r="C15" s="4"/>
      <c r="D15" s="4"/>
      <c r="E15" s="4"/>
      <c r="F15" s="4"/>
      <c r="G15" s="4"/>
      <c r="H15" s="4"/>
      <c r="I15" s="4"/>
      <c r="J15" s="6"/>
    </row>
    <row r="16" spans="1:10" ht="55.5" customHeight="1" x14ac:dyDescent="0.25">
      <c r="A16" s="16" t="s">
        <v>108</v>
      </c>
      <c r="B16" s="4"/>
      <c r="C16" s="4"/>
      <c r="D16" s="4"/>
      <c r="E16" s="4"/>
      <c r="F16" s="4"/>
      <c r="G16" s="4"/>
      <c r="H16" s="4"/>
      <c r="I16" s="4"/>
      <c r="J16" s="6"/>
    </row>
    <row r="17" spans="1:10" ht="55.5" customHeight="1" x14ac:dyDescent="0.25">
      <c r="A17" s="16" t="s">
        <v>109</v>
      </c>
      <c r="B17" s="4"/>
      <c r="C17" s="4"/>
      <c r="D17" s="4"/>
      <c r="E17" s="4"/>
      <c r="F17" s="4"/>
      <c r="G17" s="4"/>
      <c r="H17" s="4"/>
      <c r="I17" s="4"/>
      <c r="J17" s="6"/>
    </row>
    <row r="18" spans="1:10" ht="55.5" customHeight="1" x14ac:dyDescent="0.25">
      <c r="A18" s="16" t="s">
        <v>110</v>
      </c>
      <c r="B18" s="4"/>
      <c r="C18" s="4"/>
      <c r="D18" s="4"/>
      <c r="E18" s="4"/>
      <c r="F18" s="4"/>
      <c r="G18" s="4"/>
      <c r="H18" s="4"/>
      <c r="I18" s="4"/>
      <c r="J18" s="6"/>
    </row>
    <row r="19" spans="1:10" ht="55.5" customHeight="1" x14ac:dyDescent="0.25">
      <c r="A19" s="16" t="s">
        <v>111</v>
      </c>
      <c r="B19" s="4"/>
      <c r="C19" s="4"/>
      <c r="D19" s="4"/>
      <c r="E19" s="4"/>
      <c r="F19" s="4"/>
      <c r="G19" s="4"/>
      <c r="H19" s="4"/>
      <c r="I19" s="4"/>
      <c r="J19" s="6"/>
    </row>
    <row r="20" spans="1:10" ht="55.5" customHeight="1" x14ac:dyDescent="0.25">
      <c r="A20" s="16" t="s">
        <v>112</v>
      </c>
      <c r="B20" s="4"/>
      <c r="C20" s="4"/>
      <c r="D20" s="4"/>
      <c r="E20" s="4"/>
      <c r="F20" s="4"/>
      <c r="G20" s="4"/>
      <c r="H20" s="4"/>
      <c r="I20" s="4"/>
      <c r="J20" s="6"/>
    </row>
    <row r="21" spans="1:10" ht="55.5" customHeight="1" x14ac:dyDescent="0.25">
      <c r="A21" s="16" t="s">
        <v>113</v>
      </c>
      <c r="B21" s="4"/>
      <c r="C21" s="4"/>
      <c r="D21" s="4"/>
      <c r="E21" s="4"/>
      <c r="F21" s="4"/>
      <c r="G21" s="4"/>
      <c r="H21" s="4"/>
      <c r="I21" s="4"/>
      <c r="J21" s="6"/>
    </row>
    <row r="22" spans="1:10" ht="55.5" customHeight="1" x14ac:dyDescent="0.25">
      <c r="A22" s="16" t="s">
        <v>114</v>
      </c>
      <c r="B22" s="4"/>
      <c r="C22" s="4"/>
      <c r="D22" s="4"/>
      <c r="E22" s="4"/>
      <c r="F22" s="4"/>
      <c r="G22" s="4"/>
      <c r="H22" s="4"/>
      <c r="I22" s="4"/>
      <c r="J22" s="6"/>
    </row>
    <row r="23" spans="1:10" ht="55.5" customHeight="1" x14ac:dyDescent="0.25">
      <c r="A23" s="16" t="s">
        <v>115</v>
      </c>
      <c r="B23" s="4"/>
      <c r="C23" s="4"/>
      <c r="D23" s="4"/>
      <c r="E23" s="4"/>
      <c r="F23" s="4"/>
      <c r="G23" s="4"/>
      <c r="H23" s="4"/>
      <c r="I23" s="4"/>
      <c r="J23" s="6"/>
    </row>
    <row r="24" spans="1:10" ht="55.5" customHeight="1" x14ac:dyDescent="0.25">
      <c r="A24" s="16" t="s">
        <v>116</v>
      </c>
      <c r="B24" s="4"/>
      <c r="C24" s="4"/>
      <c r="D24" s="4"/>
      <c r="E24" s="4"/>
      <c r="F24" s="4"/>
      <c r="G24" s="4"/>
      <c r="H24" s="4"/>
      <c r="I24" s="4"/>
      <c r="J24" s="6"/>
    </row>
    <row r="25" spans="1:10" ht="55.5" customHeight="1" x14ac:dyDescent="0.25">
      <c r="A25" s="16" t="s">
        <v>117</v>
      </c>
      <c r="B25" s="4"/>
      <c r="C25" s="4"/>
      <c r="D25" s="4"/>
      <c r="E25" s="4"/>
      <c r="F25" s="4"/>
      <c r="G25" s="4"/>
      <c r="H25" s="4"/>
      <c r="I25" s="4"/>
      <c r="J25" s="6"/>
    </row>
    <row r="26" spans="1:10" ht="55.5" customHeight="1" x14ac:dyDescent="0.25">
      <c r="A26" s="16" t="s">
        <v>118</v>
      </c>
      <c r="B26" s="4"/>
      <c r="C26" s="4"/>
      <c r="D26" s="4"/>
      <c r="E26" s="4"/>
      <c r="F26" s="4"/>
      <c r="G26" s="4"/>
      <c r="H26" s="4"/>
      <c r="I26" s="4"/>
      <c r="J26" s="6"/>
    </row>
    <row r="27" spans="1:10" ht="55.5" customHeight="1" x14ac:dyDescent="0.25">
      <c r="A27" s="16" t="s">
        <v>119</v>
      </c>
      <c r="B27" s="4"/>
      <c r="C27" s="4"/>
      <c r="D27" s="4"/>
      <c r="E27" s="4"/>
      <c r="F27" s="4"/>
      <c r="G27" s="4"/>
      <c r="H27" s="4"/>
      <c r="I27" s="4"/>
      <c r="J27" s="6"/>
    </row>
    <row r="28" spans="1:10" ht="55.5" customHeight="1" x14ac:dyDescent="0.25">
      <c r="A28" s="16" t="s">
        <v>120</v>
      </c>
      <c r="B28" s="4"/>
      <c r="C28" s="4"/>
      <c r="D28" s="4"/>
      <c r="E28" s="4"/>
      <c r="F28" s="4"/>
      <c r="G28" s="4"/>
      <c r="H28" s="4"/>
      <c r="I28" s="4"/>
      <c r="J28" s="6"/>
    </row>
    <row r="29" spans="1:10" ht="55.5" customHeight="1" x14ac:dyDescent="0.25">
      <c r="A29" s="16" t="s">
        <v>121</v>
      </c>
      <c r="B29" s="4"/>
      <c r="C29" s="4"/>
      <c r="D29" s="4"/>
      <c r="E29" s="4"/>
      <c r="F29" s="4"/>
      <c r="G29" s="4"/>
      <c r="H29" s="4"/>
      <c r="I29" s="4"/>
      <c r="J29" s="6"/>
    </row>
    <row r="31" spans="1:10" x14ac:dyDescent="0.25">
      <c r="C31" s="9" t="s">
        <v>122</v>
      </c>
      <c r="D31" s="10">
        <f>COUNTA(D5:D29)</f>
        <v>0</v>
      </c>
    </row>
    <row r="32" spans="1:10" x14ac:dyDescent="0.25">
      <c r="C32" s="9" t="s">
        <v>123</v>
      </c>
      <c r="D32" s="10">
        <f>COUNTA(H5:H29)</f>
        <v>0</v>
      </c>
    </row>
    <row r="33" spans="1:4" x14ac:dyDescent="0.25">
      <c r="C33" s="9" t="s">
        <v>124</v>
      </c>
      <c r="D33" s="17">
        <f>SUMPRODUCT((B5:B29&lt;&gt;"")/COUNTIF(B5:B29,B5:B29&amp;""))</f>
        <v>0</v>
      </c>
    </row>
    <row r="35" spans="1:4" x14ac:dyDescent="0.25">
      <c r="A35" s="14" t="s">
        <v>125</v>
      </c>
    </row>
  </sheetData>
  <dataValidations count="3">
    <dataValidation type="list" allowBlank="1" showErrorMessage="1" error="Choose a value from the list." sqref="B5:B29" xr:uid="{00000000-0002-0000-0200-000000000000}">
      <formula1>"Payment,Ticket and fares,Hardware,Failure handling,Security,Performance and reliability,Users and accessibility,Integration,Other"</formula1>
      <formula2>0</formula2>
    </dataValidation>
    <dataValidation type="list" allowBlank="1" showErrorMessage="1" error="Choose a value from the list." sqref="E5:E29" xr:uid="{00000000-0002-0000-0200-000001000000}">
      <formula1>"Passenger,Operator,Bank / payment gateway,Maintenance,Transport authority,Other"</formula1>
      <formula2>0</formula2>
    </dataValidation>
    <dataValidation type="list" allowBlank="1" showErrorMessage="1" error="Choose a value from the list." sqref="I5:I29" xr:uid="{00000000-0002-0000-0200-000002000000}">
      <formula1>"Draft,Final"</formula1>
      <formula2>0</formula2>
    </dataValidation>
  </dataValidations>
  <pageMargins left="0.75" right="0.75" top="1" bottom="1"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62"/>
  <sheetViews>
    <sheetView showGridLines="0" zoomScaleNormal="100" workbookViewId="0">
      <pane xSplit="1" ySplit="4" topLeftCell="B44" activePane="bottomRight" state="frozen"/>
      <selection pane="topRight" activeCell="B1" sqref="B1"/>
      <selection pane="bottomLeft" activeCell="A5" sqref="A5"/>
      <selection pane="bottomRight"/>
    </sheetView>
  </sheetViews>
  <sheetFormatPr defaultColWidth="8.7109375" defaultRowHeight="15" x14ac:dyDescent="0.25"/>
  <cols>
    <col min="1" max="1" width="10" customWidth="1"/>
    <col min="2" max="2" width="52" customWidth="1"/>
    <col min="3" max="3" width="8" customWidth="1"/>
    <col min="4" max="4" width="18" customWidth="1"/>
    <col min="5" max="5" width="40" customWidth="1"/>
    <col min="6" max="6" width="28" customWidth="1"/>
    <col min="7" max="9" width="12" customWidth="1"/>
    <col min="10" max="10" width="26" customWidth="1"/>
  </cols>
  <sheetData>
    <row r="1" spans="1:10" ht="19.5" customHeight="1" x14ac:dyDescent="0.3">
      <c r="A1" s="1" t="s">
        <v>126</v>
      </c>
    </row>
    <row r="2" spans="1:10" x14ac:dyDescent="0.25">
      <c r="A2" s="2" t="s">
        <v>127</v>
      </c>
    </row>
    <row r="4" spans="1:10" ht="33.75" customHeight="1" x14ac:dyDescent="0.25">
      <c r="A4" s="7" t="s">
        <v>128</v>
      </c>
      <c r="B4" s="11" t="s">
        <v>129</v>
      </c>
      <c r="C4" s="11" t="s">
        <v>130</v>
      </c>
      <c r="D4" s="11" t="s">
        <v>131</v>
      </c>
      <c r="E4" s="11" t="s">
        <v>132</v>
      </c>
      <c r="F4" s="11" t="s">
        <v>133</v>
      </c>
      <c r="G4" s="11" t="s">
        <v>134</v>
      </c>
      <c r="H4" s="11" t="s">
        <v>135</v>
      </c>
      <c r="I4" s="11" t="s">
        <v>136</v>
      </c>
      <c r="J4" s="15" t="s">
        <v>96</v>
      </c>
    </row>
    <row r="5" spans="1:10" ht="30" customHeight="1" x14ac:dyDescent="0.25">
      <c r="A5" s="16" t="str">
        <f>IF(C5="","",C5&amp;COUNTIF($C$5:C5,C5))</f>
        <v/>
      </c>
      <c r="B5" s="4"/>
      <c r="C5" s="4"/>
      <c r="D5" s="4"/>
      <c r="E5" s="4"/>
      <c r="F5" s="4"/>
      <c r="G5" s="4"/>
      <c r="H5" s="4"/>
      <c r="I5" s="4"/>
      <c r="J5" s="6"/>
    </row>
    <row r="6" spans="1:10" ht="30" customHeight="1" x14ac:dyDescent="0.25">
      <c r="A6" s="16" t="str">
        <f>IF(C6="","",C6&amp;COUNTIF($C$5:C6,C6))</f>
        <v/>
      </c>
      <c r="B6" s="4"/>
      <c r="C6" s="4"/>
      <c r="D6" s="4"/>
      <c r="E6" s="4"/>
      <c r="F6" s="4"/>
      <c r="G6" s="4"/>
      <c r="H6" s="4"/>
      <c r="I6" s="4"/>
      <c r="J6" s="6"/>
    </row>
    <row r="7" spans="1:10" ht="30" customHeight="1" x14ac:dyDescent="0.25">
      <c r="A7" s="16" t="str">
        <f>IF(C7="","",C7&amp;COUNTIF($C$5:C7,C7))</f>
        <v/>
      </c>
      <c r="B7" s="4"/>
      <c r="C7" s="4"/>
      <c r="D7" s="4"/>
      <c r="E7" s="4"/>
      <c r="F7" s="4"/>
      <c r="G7" s="4"/>
      <c r="H7" s="4"/>
      <c r="I7" s="4"/>
      <c r="J7" s="6"/>
    </row>
    <row r="8" spans="1:10" ht="30" customHeight="1" x14ac:dyDescent="0.25">
      <c r="A8" s="16" t="str">
        <f>IF(C8="","",C8&amp;COUNTIF($C$5:C8,C8))</f>
        <v/>
      </c>
      <c r="B8" s="4"/>
      <c r="C8" s="4"/>
      <c r="D8" s="4"/>
      <c r="E8" s="4"/>
      <c r="F8" s="4"/>
      <c r="G8" s="4"/>
      <c r="H8" s="4"/>
      <c r="I8" s="4"/>
      <c r="J8" s="6"/>
    </row>
    <row r="9" spans="1:10" ht="30" customHeight="1" x14ac:dyDescent="0.25">
      <c r="A9" s="16" t="str">
        <f>IF(C9="","",C9&amp;COUNTIF($C$5:C9,C9))</f>
        <v/>
      </c>
      <c r="B9" s="4"/>
      <c r="C9" s="4"/>
      <c r="D9" s="4"/>
      <c r="E9" s="4"/>
      <c r="F9" s="4"/>
      <c r="G9" s="4"/>
      <c r="H9" s="4"/>
      <c r="I9" s="4"/>
      <c r="J9" s="6"/>
    </row>
    <row r="10" spans="1:10" ht="30" customHeight="1" x14ac:dyDescent="0.25">
      <c r="A10" s="16" t="str">
        <f>IF(C10="","",C10&amp;COUNTIF($C$5:C10,C10))</f>
        <v/>
      </c>
      <c r="B10" s="4"/>
      <c r="C10" s="4"/>
      <c r="D10" s="4"/>
      <c r="E10" s="4"/>
      <c r="F10" s="4"/>
      <c r="G10" s="4"/>
      <c r="H10" s="4"/>
      <c r="I10" s="4"/>
      <c r="J10" s="6"/>
    </row>
    <row r="11" spans="1:10" ht="30" customHeight="1" x14ac:dyDescent="0.25">
      <c r="A11" s="16" t="str">
        <f>IF(C11="","",C11&amp;COUNTIF($C$5:C11,C11))</f>
        <v/>
      </c>
      <c r="B11" s="4"/>
      <c r="C11" s="4"/>
      <c r="D11" s="4"/>
      <c r="E11" s="4"/>
      <c r="F11" s="4"/>
      <c r="G11" s="4"/>
      <c r="H11" s="4"/>
      <c r="I11" s="4"/>
      <c r="J11" s="6"/>
    </row>
    <row r="12" spans="1:10" ht="30" customHeight="1" x14ac:dyDescent="0.25">
      <c r="A12" s="16" t="str">
        <f>IF(C12="","",C12&amp;COUNTIF($C$5:C12,C12))</f>
        <v/>
      </c>
      <c r="B12" s="4"/>
      <c r="C12" s="4"/>
      <c r="D12" s="4"/>
      <c r="E12" s="4"/>
      <c r="F12" s="4"/>
      <c r="G12" s="4"/>
      <c r="H12" s="4"/>
      <c r="I12" s="4"/>
      <c r="J12" s="6"/>
    </row>
    <row r="13" spans="1:10" ht="30" customHeight="1" x14ac:dyDescent="0.25">
      <c r="A13" s="16" t="str">
        <f>IF(C13="","",C13&amp;COUNTIF($C$5:C13,C13))</f>
        <v/>
      </c>
      <c r="B13" s="4"/>
      <c r="C13" s="4"/>
      <c r="D13" s="4"/>
      <c r="E13" s="4"/>
      <c r="F13" s="4"/>
      <c r="G13" s="4"/>
      <c r="H13" s="4"/>
      <c r="I13" s="4"/>
      <c r="J13" s="6"/>
    </row>
    <row r="14" spans="1:10" ht="30" customHeight="1" x14ac:dyDescent="0.25">
      <c r="A14" s="16" t="str">
        <f>IF(C14="","",C14&amp;COUNTIF($C$5:C14,C14))</f>
        <v/>
      </c>
      <c r="B14" s="4"/>
      <c r="C14" s="4"/>
      <c r="D14" s="4"/>
      <c r="E14" s="4"/>
      <c r="F14" s="4"/>
      <c r="G14" s="4"/>
      <c r="H14" s="4"/>
      <c r="I14" s="4"/>
      <c r="J14" s="6"/>
    </row>
    <row r="15" spans="1:10" ht="30" customHeight="1" x14ac:dyDescent="0.25">
      <c r="A15" s="16" t="str">
        <f>IF(C15="","",C15&amp;COUNTIF($C$5:C15,C15))</f>
        <v/>
      </c>
      <c r="B15" s="4"/>
      <c r="C15" s="4"/>
      <c r="D15" s="4"/>
      <c r="E15" s="4"/>
      <c r="F15" s="4"/>
      <c r="G15" s="4"/>
      <c r="H15" s="4"/>
      <c r="I15" s="4"/>
      <c r="J15" s="6"/>
    </row>
    <row r="16" spans="1:10" ht="30" customHeight="1" x14ac:dyDescent="0.25">
      <c r="A16" s="16" t="str">
        <f>IF(C16="","",C16&amp;COUNTIF($C$5:C16,C16))</f>
        <v/>
      </c>
      <c r="B16" s="4"/>
      <c r="C16" s="4"/>
      <c r="D16" s="4"/>
      <c r="E16" s="4"/>
      <c r="F16" s="4"/>
      <c r="G16" s="4"/>
      <c r="H16" s="4"/>
      <c r="I16" s="4"/>
      <c r="J16" s="6"/>
    </row>
    <row r="17" spans="1:10" ht="30" customHeight="1" x14ac:dyDescent="0.25">
      <c r="A17" s="16" t="str">
        <f>IF(C17="","",C17&amp;COUNTIF($C$5:C17,C17))</f>
        <v/>
      </c>
      <c r="B17" s="4"/>
      <c r="C17" s="4"/>
      <c r="D17" s="4"/>
      <c r="E17" s="4"/>
      <c r="F17" s="4"/>
      <c r="G17" s="4"/>
      <c r="H17" s="4"/>
      <c r="I17" s="4"/>
      <c r="J17" s="6"/>
    </row>
    <row r="18" spans="1:10" ht="30" customHeight="1" x14ac:dyDescent="0.25">
      <c r="A18" s="16" t="str">
        <f>IF(C18="","",C18&amp;COUNTIF($C$5:C18,C18))</f>
        <v/>
      </c>
      <c r="B18" s="4"/>
      <c r="C18" s="4"/>
      <c r="D18" s="4"/>
      <c r="E18" s="4"/>
      <c r="F18" s="4"/>
      <c r="G18" s="4"/>
      <c r="H18" s="4"/>
      <c r="I18" s="4"/>
      <c r="J18" s="6"/>
    </row>
    <row r="19" spans="1:10" ht="30" customHeight="1" x14ac:dyDescent="0.25">
      <c r="A19" s="16" t="str">
        <f>IF(C19="","",C19&amp;COUNTIF($C$5:C19,C19))</f>
        <v/>
      </c>
      <c r="B19" s="4"/>
      <c r="C19" s="4"/>
      <c r="D19" s="4"/>
      <c r="E19" s="4"/>
      <c r="F19" s="4"/>
      <c r="G19" s="4"/>
      <c r="H19" s="4"/>
      <c r="I19" s="4"/>
      <c r="J19" s="6"/>
    </row>
    <row r="20" spans="1:10" ht="30" customHeight="1" x14ac:dyDescent="0.25">
      <c r="A20" s="16" t="str">
        <f>IF(C20="","",C20&amp;COUNTIF($C$5:C20,C20))</f>
        <v/>
      </c>
      <c r="B20" s="4"/>
      <c r="C20" s="4"/>
      <c r="D20" s="4"/>
      <c r="E20" s="4"/>
      <c r="F20" s="4"/>
      <c r="G20" s="4"/>
      <c r="H20" s="4"/>
      <c r="I20" s="4"/>
      <c r="J20" s="6"/>
    </row>
    <row r="21" spans="1:10" ht="30" customHeight="1" x14ac:dyDescent="0.25">
      <c r="A21" s="16" t="str">
        <f>IF(C21="","",C21&amp;COUNTIF($C$5:C21,C21))</f>
        <v/>
      </c>
      <c r="B21" s="4"/>
      <c r="C21" s="4"/>
      <c r="D21" s="4"/>
      <c r="E21" s="4"/>
      <c r="F21" s="4"/>
      <c r="G21" s="4"/>
      <c r="H21" s="4"/>
      <c r="I21" s="4"/>
      <c r="J21" s="6"/>
    </row>
    <row r="22" spans="1:10" ht="30" customHeight="1" x14ac:dyDescent="0.25">
      <c r="A22" s="16" t="str">
        <f>IF(C22="","",C22&amp;COUNTIF($C$5:C22,C22))</f>
        <v/>
      </c>
      <c r="B22" s="4"/>
      <c r="C22" s="4"/>
      <c r="D22" s="4"/>
      <c r="E22" s="4"/>
      <c r="F22" s="4"/>
      <c r="G22" s="4"/>
      <c r="H22" s="4"/>
      <c r="I22" s="4"/>
      <c r="J22" s="6"/>
    </row>
    <row r="23" spans="1:10" ht="30" customHeight="1" x14ac:dyDescent="0.25">
      <c r="A23" s="16" t="str">
        <f>IF(C23="","",C23&amp;COUNTIF($C$5:C23,C23))</f>
        <v/>
      </c>
      <c r="B23" s="4"/>
      <c r="C23" s="4"/>
      <c r="D23" s="4"/>
      <c r="E23" s="4"/>
      <c r="F23" s="4"/>
      <c r="G23" s="4"/>
      <c r="H23" s="4"/>
      <c r="I23" s="4"/>
      <c r="J23" s="6"/>
    </row>
    <row r="24" spans="1:10" ht="30" customHeight="1" x14ac:dyDescent="0.25">
      <c r="A24" s="16" t="str">
        <f>IF(C24="","",C24&amp;COUNTIF($C$5:C24,C24))</f>
        <v/>
      </c>
      <c r="B24" s="4"/>
      <c r="C24" s="4"/>
      <c r="D24" s="4"/>
      <c r="E24" s="4"/>
      <c r="F24" s="4"/>
      <c r="G24" s="4"/>
      <c r="H24" s="4"/>
      <c r="I24" s="4"/>
      <c r="J24" s="6"/>
    </row>
    <row r="25" spans="1:10" ht="30" customHeight="1" x14ac:dyDescent="0.25">
      <c r="A25" s="16" t="str">
        <f>IF(C25="","",C25&amp;COUNTIF($C$5:C25,C25))</f>
        <v/>
      </c>
      <c r="B25" s="4"/>
      <c r="C25" s="4"/>
      <c r="D25" s="4"/>
      <c r="E25" s="4"/>
      <c r="F25" s="4"/>
      <c r="G25" s="4"/>
      <c r="H25" s="4"/>
      <c r="I25" s="4"/>
      <c r="J25" s="6"/>
    </row>
    <row r="26" spans="1:10" ht="30" customHeight="1" x14ac:dyDescent="0.25">
      <c r="A26" s="16" t="str">
        <f>IF(C26="","",C26&amp;COUNTIF($C$5:C26,C26))</f>
        <v/>
      </c>
      <c r="B26" s="4"/>
      <c r="C26" s="4"/>
      <c r="D26" s="4"/>
      <c r="E26" s="4"/>
      <c r="F26" s="4"/>
      <c r="G26" s="4"/>
      <c r="H26" s="4"/>
      <c r="I26" s="4"/>
      <c r="J26" s="6"/>
    </row>
    <row r="27" spans="1:10" ht="30" customHeight="1" x14ac:dyDescent="0.25">
      <c r="A27" s="16" t="str">
        <f>IF(C27="","",C27&amp;COUNTIF($C$5:C27,C27))</f>
        <v/>
      </c>
      <c r="B27" s="4"/>
      <c r="C27" s="4"/>
      <c r="D27" s="4"/>
      <c r="E27" s="4"/>
      <c r="F27" s="4"/>
      <c r="G27" s="4"/>
      <c r="H27" s="4"/>
      <c r="I27" s="4"/>
      <c r="J27" s="6"/>
    </row>
    <row r="28" spans="1:10" ht="30" customHeight="1" x14ac:dyDescent="0.25">
      <c r="A28" s="16" t="str">
        <f>IF(C28="","",C28&amp;COUNTIF($C$5:C28,C28))</f>
        <v/>
      </c>
      <c r="B28" s="4"/>
      <c r="C28" s="4"/>
      <c r="D28" s="4"/>
      <c r="E28" s="4"/>
      <c r="F28" s="4"/>
      <c r="G28" s="4"/>
      <c r="H28" s="4"/>
      <c r="I28" s="4"/>
      <c r="J28" s="6"/>
    </row>
    <row r="29" spans="1:10" ht="30" customHeight="1" x14ac:dyDescent="0.25">
      <c r="A29" s="16" t="str">
        <f>IF(C29="","",C29&amp;COUNTIF($C$5:C29,C29))</f>
        <v/>
      </c>
      <c r="B29" s="4"/>
      <c r="C29" s="4"/>
      <c r="D29" s="4"/>
      <c r="E29" s="4"/>
      <c r="F29" s="4"/>
      <c r="G29" s="4"/>
      <c r="H29" s="4"/>
      <c r="I29" s="4"/>
      <c r="J29" s="6"/>
    </row>
    <row r="30" spans="1:10" ht="30" customHeight="1" x14ac:dyDescent="0.25">
      <c r="A30" s="16" t="str">
        <f>IF(C30="","",C30&amp;COUNTIF($C$5:C30,C30))</f>
        <v/>
      </c>
      <c r="B30" s="4"/>
      <c r="C30" s="4"/>
      <c r="D30" s="4"/>
      <c r="E30" s="4"/>
      <c r="F30" s="4"/>
      <c r="G30" s="4"/>
      <c r="H30" s="4"/>
      <c r="I30" s="4"/>
      <c r="J30" s="6"/>
    </row>
    <row r="31" spans="1:10" ht="30" customHeight="1" x14ac:dyDescent="0.25">
      <c r="A31" s="16" t="str">
        <f>IF(C31="","",C31&amp;COUNTIF($C$5:C31,C31))</f>
        <v/>
      </c>
      <c r="B31" s="4"/>
      <c r="C31" s="4"/>
      <c r="D31" s="4"/>
      <c r="E31" s="4"/>
      <c r="F31" s="4"/>
      <c r="G31" s="4"/>
      <c r="H31" s="4"/>
      <c r="I31" s="4"/>
      <c r="J31" s="6"/>
    </row>
    <row r="32" spans="1:10" ht="30" customHeight="1" x14ac:dyDescent="0.25">
      <c r="A32" s="16" t="str">
        <f>IF(C32="","",C32&amp;COUNTIF($C$5:C32,C32))</f>
        <v/>
      </c>
      <c r="B32" s="4"/>
      <c r="C32" s="4"/>
      <c r="D32" s="4"/>
      <c r="E32" s="4"/>
      <c r="F32" s="4"/>
      <c r="G32" s="4"/>
      <c r="H32" s="4"/>
      <c r="I32" s="4"/>
      <c r="J32" s="6"/>
    </row>
    <row r="33" spans="1:10" ht="30" customHeight="1" x14ac:dyDescent="0.25">
      <c r="A33" s="16" t="str">
        <f>IF(C33="","",C33&amp;COUNTIF($C$5:C33,C33))</f>
        <v/>
      </c>
      <c r="B33" s="4"/>
      <c r="C33" s="4"/>
      <c r="D33" s="4"/>
      <c r="E33" s="4"/>
      <c r="F33" s="4"/>
      <c r="G33" s="4"/>
      <c r="H33" s="4"/>
      <c r="I33" s="4"/>
      <c r="J33" s="6"/>
    </row>
    <row r="34" spans="1:10" ht="30" customHeight="1" x14ac:dyDescent="0.25">
      <c r="A34" s="16" t="str">
        <f>IF(C34="","",C34&amp;COUNTIF($C$5:C34,C34))</f>
        <v/>
      </c>
      <c r="B34" s="4"/>
      <c r="C34" s="4"/>
      <c r="D34" s="4"/>
      <c r="E34" s="4"/>
      <c r="F34" s="4"/>
      <c r="G34" s="4"/>
      <c r="H34" s="4"/>
      <c r="I34" s="4"/>
      <c r="J34" s="6"/>
    </row>
    <row r="35" spans="1:10" ht="30" customHeight="1" x14ac:dyDescent="0.25">
      <c r="A35" s="16" t="str">
        <f>IF(C35="","",C35&amp;COUNTIF($C$5:C35,C35))</f>
        <v/>
      </c>
      <c r="B35" s="4"/>
      <c r="C35" s="4"/>
      <c r="D35" s="4"/>
      <c r="E35" s="4"/>
      <c r="F35" s="4"/>
      <c r="G35" s="4"/>
      <c r="H35" s="4"/>
      <c r="I35" s="4"/>
      <c r="J35" s="6"/>
    </row>
    <row r="36" spans="1:10" ht="30" customHeight="1" x14ac:dyDescent="0.25">
      <c r="A36" s="16" t="str">
        <f>IF(C36="","",C36&amp;COUNTIF($C$5:C36,C36))</f>
        <v/>
      </c>
      <c r="B36" s="4"/>
      <c r="C36" s="4"/>
      <c r="D36" s="4"/>
      <c r="E36" s="4"/>
      <c r="F36" s="4"/>
      <c r="G36" s="4"/>
      <c r="H36" s="4"/>
      <c r="I36" s="4"/>
      <c r="J36" s="6"/>
    </row>
    <row r="37" spans="1:10" ht="30" customHeight="1" x14ac:dyDescent="0.25">
      <c r="A37" s="16" t="str">
        <f>IF(C37="","",C37&amp;COUNTIF($C$5:C37,C37))</f>
        <v/>
      </c>
      <c r="B37" s="4"/>
      <c r="C37" s="4"/>
      <c r="D37" s="4"/>
      <c r="E37" s="4"/>
      <c r="F37" s="4"/>
      <c r="G37" s="4"/>
      <c r="H37" s="4"/>
      <c r="I37" s="4"/>
      <c r="J37" s="6"/>
    </row>
    <row r="38" spans="1:10" ht="30" customHeight="1" x14ac:dyDescent="0.25">
      <c r="A38" s="16" t="str">
        <f>IF(C38="","",C38&amp;COUNTIF($C$5:C38,C38))</f>
        <v/>
      </c>
      <c r="B38" s="4"/>
      <c r="C38" s="4"/>
      <c r="D38" s="4"/>
      <c r="E38" s="4"/>
      <c r="F38" s="4"/>
      <c r="G38" s="4"/>
      <c r="H38" s="4"/>
      <c r="I38" s="4"/>
      <c r="J38" s="6"/>
    </row>
    <row r="39" spans="1:10" ht="30" customHeight="1" x14ac:dyDescent="0.25">
      <c r="A39" s="16" t="str">
        <f>IF(C39="","",C39&amp;COUNTIF($C$5:C39,C39))</f>
        <v/>
      </c>
      <c r="B39" s="4"/>
      <c r="C39" s="4"/>
      <c r="D39" s="4"/>
      <c r="E39" s="4"/>
      <c r="F39" s="4"/>
      <c r="G39" s="4"/>
      <c r="H39" s="4"/>
      <c r="I39" s="4"/>
      <c r="J39" s="6"/>
    </row>
    <row r="40" spans="1:10" ht="30" customHeight="1" x14ac:dyDescent="0.25">
      <c r="A40" s="16" t="str">
        <f>IF(C40="","",C40&amp;COUNTIF($C$5:C40,C40))</f>
        <v/>
      </c>
      <c r="B40" s="4"/>
      <c r="C40" s="4"/>
      <c r="D40" s="4"/>
      <c r="E40" s="4"/>
      <c r="F40" s="4"/>
      <c r="G40" s="4"/>
      <c r="H40" s="4"/>
      <c r="I40" s="4"/>
      <c r="J40" s="6"/>
    </row>
    <row r="41" spans="1:10" ht="30" customHeight="1" x14ac:dyDescent="0.25">
      <c r="A41" s="16" t="str">
        <f>IF(C41="","",C41&amp;COUNTIF($C$5:C41,C41))</f>
        <v/>
      </c>
      <c r="B41" s="4"/>
      <c r="C41" s="4"/>
      <c r="D41" s="4"/>
      <c r="E41" s="4"/>
      <c r="F41" s="4"/>
      <c r="G41" s="4"/>
      <c r="H41" s="4"/>
      <c r="I41" s="4"/>
      <c r="J41" s="6"/>
    </row>
    <row r="42" spans="1:10" ht="30" customHeight="1" x14ac:dyDescent="0.25">
      <c r="A42" s="16" t="str">
        <f>IF(C42="","",C42&amp;COUNTIF($C$5:C42,C42))</f>
        <v/>
      </c>
      <c r="B42" s="4"/>
      <c r="C42" s="4"/>
      <c r="D42" s="4"/>
      <c r="E42" s="4"/>
      <c r="F42" s="4"/>
      <c r="G42" s="4"/>
      <c r="H42" s="4"/>
      <c r="I42" s="4"/>
      <c r="J42" s="6"/>
    </row>
    <row r="43" spans="1:10" ht="30" customHeight="1" x14ac:dyDescent="0.25">
      <c r="A43" s="16" t="str">
        <f>IF(C43="","",C43&amp;COUNTIF($C$5:C43,C43))</f>
        <v/>
      </c>
      <c r="B43" s="4"/>
      <c r="C43" s="4"/>
      <c r="D43" s="4"/>
      <c r="E43" s="4"/>
      <c r="F43" s="4"/>
      <c r="G43" s="4"/>
      <c r="H43" s="4"/>
      <c r="I43" s="4"/>
      <c r="J43" s="6"/>
    </row>
    <row r="44" spans="1:10" ht="30" customHeight="1" x14ac:dyDescent="0.25">
      <c r="A44" s="16" t="str">
        <f>IF(C44="","",C44&amp;COUNTIF($C$5:C44,C44))</f>
        <v/>
      </c>
      <c r="B44" s="4"/>
      <c r="C44" s="4"/>
      <c r="D44" s="4"/>
      <c r="E44" s="4"/>
      <c r="F44" s="4"/>
      <c r="G44" s="4"/>
      <c r="H44" s="4"/>
      <c r="I44" s="4"/>
      <c r="J44" s="6"/>
    </row>
    <row r="45" spans="1:10" ht="30" customHeight="1" x14ac:dyDescent="0.25">
      <c r="A45" s="16" t="str">
        <f>IF(C45="","",C45&amp;COUNTIF($C$5:C45,C45))</f>
        <v/>
      </c>
      <c r="B45" s="4"/>
      <c r="C45" s="4"/>
      <c r="D45" s="4"/>
      <c r="E45" s="4"/>
      <c r="F45" s="4"/>
      <c r="G45" s="4"/>
      <c r="H45" s="4"/>
      <c r="I45" s="4"/>
      <c r="J45" s="6"/>
    </row>
    <row r="46" spans="1:10" ht="30" customHeight="1" x14ac:dyDescent="0.25">
      <c r="A46" s="16" t="str">
        <f>IF(C46="","",C46&amp;COUNTIF($C$5:C46,C46))</f>
        <v/>
      </c>
      <c r="B46" s="4"/>
      <c r="C46" s="4"/>
      <c r="D46" s="4"/>
      <c r="E46" s="4"/>
      <c r="F46" s="4"/>
      <c r="G46" s="4"/>
      <c r="H46" s="4"/>
      <c r="I46" s="4"/>
      <c r="J46" s="6"/>
    </row>
    <row r="47" spans="1:10" ht="30" customHeight="1" x14ac:dyDescent="0.25">
      <c r="A47" s="16" t="str">
        <f>IF(C47="","",C47&amp;COUNTIF($C$5:C47,C47))</f>
        <v/>
      </c>
      <c r="B47" s="4"/>
      <c r="C47" s="4"/>
      <c r="D47" s="4"/>
      <c r="E47" s="4"/>
      <c r="F47" s="4"/>
      <c r="G47" s="4"/>
      <c r="H47" s="4"/>
      <c r="I47" s="4"/>
      <c r="J47" s="6"/>
    </row>
    <row r="48" spans="1:10" ht="30" customHeight="1" x14ac:dyDescent="0.25">
      <c r="A48" s="16" t="str">
        <f>IF(C48="","",C48&amp;COUNTIF($C$5:C48,C48))</f>
        <v/>
      </c>
      <c r="B48" s="4"/>
      <c r="C48" s="4"/>
      <c r="D48" s="4"/>
      <c r="E48" s="4"/>
      <c r="F48" s="4"/>
      <c r="G48" s="4"/>
      <c r="H48" s="4"/>
      <c r="I48" s="4"/>
      <c r="J48" s="6"/>
    </row>
    <row r="49" spans="1:10" ht="30" customHeight="1" x14ac:dyDescent="0.25">
      <c r="A49" s="16" t="str">
        <f>IF(C49="","",C49&amp;COUNTIF($C$5:C49,C49))</f>
        <v/>
      </c>
      <c r="B49" s="4"/>
      <c r="C49" s="4"/>
      <c r="D49" s="4"/>
      <c r="E49" s="4"/>
      <c r="F49" s="4"/>
      <c r="G49" s="4"/>
      <c r="H49" s="4"/>
      <c r="I49" s="4"/>
      <c r="J49" s="6"/>
    </row>
    <row r="50" spans="1:10" ht="30" customHeight="1" x14ac:dyDescent="0.25">
      <c r="A50" s="16" t="str">
        <f>IF(C50="","",C50&amp;COUNTIF($C$5:C50,C50))</f>
        <v/>
      </c>
      <c r="B50" s="4"/>
      <c r="C50" s="4"/>
      <c r="D50" s="4"/>
      <c r="E50" s="4"/>
      <c r="F50" s="4"/>
      <c r="G50" s="4"/>
      <c r="H50" s="4"/>
      <c r="I50" s="4"/>
      <c r="J50" s="6"/>
    </row>
    <row r="51" spans="1:10" ht="30" customHeight="1" x14ac:dyDescent="0.25">
      <c r="A51" s="16" t="str">
        <f>IF(C51="","",C51&amp;COUNTIF($C$5:C51,C51))</f>
        <v/>
      </c>
      <c r="B51" s="4"/>
      <c r="C51" s="4"/>
      <c r="D51" s="4"/>
      <c r="E51" s="4"/>
      <c r="F51" s="4"/>
      <c r="G51" s="4"/>
      <c r="H51" s="4"/>
      <c r="I51" s="4"/>
      <c r="J51" s="6"/>
    </row>
    <row r="52" spans="1:10" ht="30" customHeight="1" x14ac:dyDescent="0.25">
      <c r="A52" s="16" t="str">
        <f>IF(C52="","",C52&amp;COUNTIF($C$5:C52,C52))</f>
        <v/>
      </c>
      <c r="B52" s="4"/>
      <c r="C52" s="4"/>
      <c r="D52" s="4"/>
      <c r="E52" s="4"/>
      <c r="F52" s="4"/>
      <c r="G52" s="4"/>
      <c r="H52" s="4"/>
      <c r="I52" s="4"/>
      <c r="J52" s="6"/>
    </row>
    <row r="53" spans="1:10" ht="30" customHeight="1" x14ac:dyDescent="0.25">
      <c r="A53" s="16" t="str">
        <f>IF(C53="","",C53&amp;COUNTIF($C$5:C53,C53))</f>
        <v/>
      </c>
      <c r="B53" s="4"/>
      <c r="C53" s="4"/>
      <c r="D53" s="4"/>
      <c r="E53" s="4"/>
      <c r="F53" s="4"/>
      <c r="G53" s="4"/>
      <c r="H53" s="4"/>
      <c r="I53" s="4"/>
      <c r="J53" s="6"/>
    </row>
    <row r="54" spans="1:10" ht="30" customHeight="1" x14ac:dyDescent="0.25">
      <c r="A54" s="16" t="str">
        <f>IF(C54="","",C54&amp;COUNTIF($C$5:C54,C54))</f>
        <v/>
      </c>
      <c r="B54" s="4"/>
      <c r="C54" s="4"/>
      <c r="D54" s="4"/>
      <c r="E54" s="4"/>
      <c r="F54" s="4"/>
      <c r="G54" s="4"/>
      <c r="H54" s="4"/>
      <c r="I54" s="4"/>
      <c r="J54" s="6"/>
    </row>
    <row r="56" spans="1:10" x14ac:dyDescent="0.25">
      <c r="B56" s="9" t="s">
        <v>137</v>
      </c>
      <c r="C56" s="10">
        <f>COUNTIF(C5:C54,"FR")</f>
        <v>0</v>
      </c>
    </row>
    <row r="57" spans="1:10" x14ac:dyDescent="0.25">
      <c r="B57" s="9" t="s">
        <v>138</v>
      </c>
      <c r="C57" s="10">
        <f>COUNTIF(C5:C54,"NFR")</f>
        <v>0</v>
      </c>
    </row>
    <row r="58" spans="1:10" x14ac:dyDescent="0.25">
      <c r="B58" s="9" t="s">
        <v>139</v>
      </c>
      <c r="C58" s="10">
        <f>COUNTIF(C5:C54,"DR")</f>
        <v>0</v>
      </c>
    </row>
    <row r="59" spans="1:10" x14ac:dyDescent="0.25">
      <c r="B59" s="9" t="s">
        <v>140</v>
      </c>
      <c r="C59" s="10">
        <f>COUNTIFS(C5:C54,"NFR",E5:E54,"")</f>
        <v>0</v>
      </c>
    </row>
    <row r="60" spans="1:10" x14ac:dyDescent="0.25">
      <c r="B60" s="9" t="s">
        <v>141</v>
      </c>
      <c r="C60" s="10">
        <f>COUNTIF(D5:D54,"Reliability")</f>
        <v>0</v>
      </c>
    </row>
    <row r="61" spans="1:10" x14ac:dyDescent="0.25">
      <c r="B61" s="9" t="s">
        <v>142</v>
      </c>
      <c r="C61" s="10">
        <f>COUNTIF(D5:D54,"Response time")</f>
        <v>0</v>
      </c>
    </row>
    <row r="62" spans="1:10" ht="25.5" customHeight="1" x14ac:dyDescent="0.25">
      <c r="B62" s="9" t="s">
        <v>143</v>
      </c>
      <c r="C62" s="10" t="str">
        <f>IF(AND(C59=0,C60&gt;=1,C61&gt;=1),"OK","Check NFRs")</f>
        <v>Check NFRs</v>
      </c>
    </row>
  </sheetData>
  <conditionalFormatting sqref="C62">
    <cfRule type="expression" dxfId="6" priority="3">
      <formula>C62&lt;&gt;"OK"</formula>
    </cfRule>
  </conditionalFormatting>
  <conditionalFormatting sqref="E5:E54">
    <cfRule type="expression" dxfId="5" priority="2">
      <formula>AND($C5="NFR",$E5="",$B5&lt;&gt;"")</formula>
    </cfRule>
  </conditionalFormatting>
  <dataValidations count="3">
    <dataValidation type="list" allowBlank="1" showErrorMessage="1" error="Choose a value from the list." sqref="C5:C54" xr:uid="{00000000-0002-0000-0300-000000000000}">
      <formula1>"FR,NFR,DR"</formula1>
      <formula2>0</formula2>
    </dataValidation>
    <dataValidation type="list" allowBlank="1" showErrorMessage="1" error="Choose a value from the list." sqref="D5:D54" xr:uid="{00000000-0002-0000-0300-000001000000}">
      <formula1>"Reliability,Response time,Availability,Security,Usability,Capacity,Maintainability,Other"</formula1>
      <formula2>0</formula2>
    </dataValidation>
    <dataValidation type="list" allowBlank="1" showErrorMessage="1" error="Choose a value from the list." sqref="G5:G54" xr:uid="{00000000-0002-0000-0300-000002000000}">
      <formula1>"High,Medium,Low"</formula1>
      <formula2>0</formula2>
    </dataValidation>
  </dataValidations>
  <pageMargins left="0.75" right="0.75" top="1" bottom="1"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6"/>
  <sheetViews>
    <sheetView showGridLines="0" zoomScaleNormal="100" workbookViewId="0">
      <pane xSplit="1" ySplit="4" topLeftCell="B5" activePane="bottomRight" state="frozen"/>
      <selection pane="topRight" activeCell="B1" sqref="B1"/>
      <selection pane="bottomLeft" activeCell="A5" sqref="A5"/>
      <selection pane="bottomRight"/>
    </sheetView>
  </sheetViews>
  <sheetFormatPr defaultColWidth="8.7109375" defaultRowHeight="15" x14ac:dyDescent="0.25"/>
  <cols>
    <col min="1" max="1" width="9" customWidth="1"/>
    <col min="2" max="2" width="32" customWidth="1"/>
    <col min="3" max="3" width="22" customWidth="1"/>
    <col min="4" max="4" width="44" customWidth="1"/>
    <col min="5" max="5" width="22" customWidth="1"/>
    <col min="6" max="7" width="14" customWidth="1"/>
    <col min="8" max="8" width="12" customWidth="1"/>
    <col min="9" max="9" width="26" customWidth="1"/>
  </cols>
  <sheetData>
    <row r="1" spans="1:9" ht="19.5" customHeight="1" x14ac:dyDescent="0.3">
      <c r="A1" s="1" t="s">
        <v>144</v>
      </c>
    </row>
    <row r="2" spans="1:9" x14ac:dyDescent="0.25">
      <c r="A2" s="2" t="s">
        <v>145</v>
      </c>
    </row>
    <row r="4" spans="1:9" ht="33.75" customHeight="1" x14ac:dyDescent="0.25">
      <c r="A4" s="7" t="s">
        <v>128</v>
      </c>
      <c r="B4" s="11" t="s">
        <v>135</v>
      </c>
      <c r="C4" s="11" t="s">
        <v>146</v>
      </c>
      <c r="D4" s="11" t="s">
        <v>147</v>
      </c>
      <c r="E4" s="11" t="s">
        <v>148</v>
      </c>
      <c r="F4" s="11" t="s">
        <v>149</v>
      </c>
      <c r="G4" s="11" t="s">
        <v>150</v>
      </c>
      <c r="H4" s="11" t="s">
        <v>151</v>
      </c>
      <c r="I4" s="15" t="s">
        <v>96</v>
      </c>
    </row>
    <row r="5" spans="1:9" ht="30" customHeight="1" x14ac:dyDescent="0.25">
      <c r="A5" s="16" t="s">
        <v>152</v>
      </c>
      <c r="B5" s="4"/>
      <c r="C5" s="4"/>
      <c r="D5" s="4"/>
      <c r="E5" s="4"/>
      <c r="F5" s="4"/>
      <c r="G5" s="4"/>
      <c r="H5" s="4"/>
      <c r="I5" s="6"/>
    </row>
    <row r="6" spans="1:9" ht="30" customHeight="1" x14ac:dyDescent="0.25">
      <c r="A6" s="16" t="s">
        <v>153</v>
      </c>
      <c r="B6" s="4"/>
      <c r="C6" s="4"/>
      <c r="D6" s="4"/>
      <c r="E6" s="4"/>
      <c r="F6" s="4"/>
      <c r="G6" s="4"/>
      <c r="H6" s="4"/>
      <c r="I6" s="6"/>
    </row>
    <row r="7" spans="1:9" ht="30" customHeight="1" x14ac:dyDescent="0.25">
      <c r="A7" s="16" t="s">
        <v>154</v>
      </c>
      <c r="B7" s="4"/>
      <c r="C7" s="4"/>
      <c r="D7" s="4"/>
      <c r="E7" s="4"/>
      <c r="F7" s="4"/>
      <c r="G7" s="4"/>
      <c r="H7" s="4"/>
      <c r="I7" s="6"/>
    </row>
    <row r="8" spans="1:9" ht="30" customHeight="1" x14ac:dyDescent="0.25">
      <c r="A8" s="16" t="s">
        <v>155</v>
      </c>
      <c r="B8" s="4"/>
      <c r="C8" s="4"/>
      <c r="D8" s="4"/>
      <c r="E8" s="4"/>
      <c r="F8" s="4"/>
      <c r="G8" s="4"/>
      <c r="H8" s="4"/>
      <c r="I8" s="6"/>
    </row>
    <row r="9" spans="1:9" ht="30" customHeight="1" x14ac:dyDescent="0.25">
      <c r="A9" s="16" t="s">
        <v>156</v>
      </c>
      <c r="B9" s="4"/>
      <c r="C9" s="4"/>
      <c r="D9" s="4"/>
      <c r="E9" s="4"/>
      <c r="F9" s="4"/>
      <c r="G9" s="4"/>
      <c r="H9" s="4"/>
      <c r="I9" s="6"/>
    </row>
    <row r="10" spans="1:9" ht="30" customHeight="1" x14ac:dyDescent="0.25">
      <c r="A10" s="16" t="s">
        <v>157</v>
      </c>
      <c r="B10" s="4"/>
      <c r="C10" s="4"/>
      <c r="D10" s="4"/>
      <c r="E10" s="4"/>
      <c r="F10" s="4"/>
      <c r="G10" s="4"/>
      <c r="H10" s="4"/>
      <c r="I10" s="6"/>
    </row>
    <row r="11" spans="1:9" ht="30" customHeight="1" x14ac:dyDescent="0.25">
      <c r="A11" s="16" t="s">
        <v>158</v>
      </c>
      <c r="B11" s="4"/>
      <c r="C11" s="4"/>
      <c r="D11" s="4"/>
      <c r="E11" s="4"/>
      <c r="F11" s="4"/>
      <c r="G11" s="4"/>
      <c r="H11" s="4"/>
      <c r="I11" s="6"/>
    </row>
    <row r="12" spans="1:9" ht="30" customHeight="1" x14ac:dyDescent="0.25">
      <c r="A12" s="16" t="s">
        <v>159</v>
      </c>
      <c r="B12" s="4"/>
      <c r="C12" s="4"/>
      <c r="D12" s="4"/>
      <c r="E12" s="4"/>
      <c r="F12" s="4"/>
      <c r="G12" s="4"/>
      <c r="H12" s="4"/>
      <c r="I12" s="6"/>
    </row>
    <row r="13" spans="1:9" ht="30" customHeight="1" x14ac:dyDescent="0.25">
      <c r="A13" s="16" t="s">
        <v>160</v>
      </c>
      <c r="B13" s="4"/>
      <c r="C13" s="4"/>
      <c r="D13" s="4"/>
      <c r="E13" s="4"/>
      <c r="F13" s="4"/>
      <c r="G13" s="4"/>
      <c r="H13" s="4"/>
      <c r="I13" s="6"/>
    </row>
    <row r="14" spans="1:9" ht="30" customHeight="1" x14ac:dyDescent="0.25">
      <c r="A14" s="16" t="s">
        <v>161</v>
      </c>
      <c r="B14" s="4"/>
      <c r="C14" s="4"/>
      <c r="D14" s="4"/>
      <c r="E14" s="4"/>
      <c r="F14" s="4"/>
      <c r="G14" s="4"/>
      <c r="H14" s="4"/>
      <c r="I14" s="6"/>
    </row>
    <row r="15" spans="1:9" ht="30" customHeight="1" x14ac:dyDescent="0.25">
      <c r="A15" s="16" t="s">
        <v>162</v>
      </c>
      <c r="B15" s="4"/>
      <c r="C15" s="4"/>
      <c r="D15" s="4"/>
      <c r="E15" s="4"/>
      <c r="F15" s="4"/>
      <c r="G15" s="4"/>
      <c r="H15" s="4"/>
      <c r="I15" s="6"/>
    </row>
    <row r="16" spans="1:9" ht="30" customHeight="1" x14ac:dyDescent="0.25">
      <c r="A16" s="16" t="s">
        <v>163</v>
      </c>
      <c r="B16" s="4"/>
      <c r="C16" s="4"/>
      <c r="D16" s="4"/>
      <c r="E16" s="4"/>
      <c r="F16" s="4"/>
      <c r="G16" s="4"/>
      <c r="H16" s="4"/>
      <c r="I16" s="6"/>
    </row>
  </sheetData>
  <dataValidations count="2">
    <dataValidation type="list" allowBlank="1" showErrorMessage="1" error="Choose a value from the list." sqref="F5:F16" xr:uid="{00000000-0002-0000-0400-000000000000}">
      <formula1>"Yes,Partly,No"</formula1>
      <formula2>0</formula2>
    </dataValidation>
    <dataValidation type="list" allowBlank="1" showErrorMessage="1" error="Choose a value from the list." sqref="G5:G16" xr:uid="{00000000-0002-0000-0400-000001000000}">
      <formula1>"Yes,No,N/A"</formula1>
      <formula2>0</formula2>
    </dataValidation>
  </dataValidations>
  <pageMargins left="0.75" right="0.75" top="1" bottom="1"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I32"/>
  <sheetViews>
    <sheetView showGridLines="0" zoomScaleNormal="100" workbookViewId="0">
      <pane xSplit="2" ySplit="4" topLeftCell="C12" activePane="bottomRight" state="frozen"/>
      <selection pane="topRight" activeCell="C1" sqref="C1"/>
      <selection pane="bottomLeft" activeCell="A5" sqref="A5"/>
      <selection pane="bottomRight" activeCell="P14" sqref="P14"/>
    </sheetView>
  </sheetViews>
  <sheetFormatPr defaultColWidth="8.7109375" defaultRowHeight="15" x14ac:dyDescent="0.25"/>
  <cols>
    <col min="1" max="1" width="7" customWidth="1"/>
    <col min="2" max="2" width="40" customWidth="1"/>
    <col min="3" max="3" width="10" customWidth="1"/>
    <col min="4" max="4" width="22" customWidth="1"/>
    <col min="5" max="5" width="12" customWidth="1"/>
    <col min="6" max="6" width="34" customWidth="1"/>
    <col min="7" max="7" width="14" customWidth="1"/>
    <col min="8" max="8" width="12" customWidth="1"/>
    <col min="9" max="9" width="26" customWidth="1"/>
  </cols>
  <sheetData>
    <row r="1" spans="1:9" ht="19.5" customHeight="1" x14ac:dyDescent="0.3">
      <c r="A1" s="1" t="s">
        <v>37</v>
      </c>
    </row>
    <row r="2" spans="1:9" x14ac:dyDescent="0.25">
      <c r="A2" s="2" t="s">
        <v>164</v>
      </c>
    </row>
    <row r="4" spans="1:9" ht="33.75" customHeight="1" x14ac:dyDescent="0.25">
      <c r="A4" s="7" t="s">
        <v>165</v>
      </c>
      <c r="B4" s="7" t="s">
        <v>166</v>
      </c>
      <c r="C4" s="7" t="s">
        <v>167</v>
      </c>
      <c r="D4" s="11" t="s">
        <v>168</v>
      </c>
      <c r="E4" s="11" t="s">
        <v>151</v>
      </c>
      <c r="F4" s="11" t="s">
        <v>169</v>
      </c>
      <c r="G4" s="11" t="s">
        <v>95</v>
      </c>
      <c r="H4" s="7" t="s">
        <v>170</v>
      </c>
      <c r="I4" s="15" t="s">
        <v>96</v>
      </c>
    </row>
    <row r="5" spans="1:9" ht="25.5" customHeight="1" x14ac:dyDescent="0.25">
      <c r="A5" s="18" t="s">
        <v>171</v>
      </c>
      <c r="B5" s="5" t="s">
        <v>172</v>
      </c>
      <c r="C5" s="10">
        <v>5</v>
      </c>
      <c r="D5" s="4"/>
      <c r="E5" s="4"/>
      <c r="F5" s="4"/>
      <c r="G5" s="4"/>
      <c r="H5" s="19" t="str">
        <f t="shared" ref="H5:H27" si="0">IF(G5="","",IF(G5="Done",1,IF(G5="In review",0.75,IF(G5="Draft",0.4,0))))</f>
        <v/>
      </c>
      <c r="I5" s="6"/>
    </row>
    <row r="6" spans="1:9" ht="25.5" customHeight="1" x14ac:dyDescent="0.25">
      <c r="A6" s="18" t="s">
        <v>173</v>
      </c>
      <c r="B6" s="5" t="s">
        <v>174</v>
      </c>
      <c r="C6" s="10">
        <v>15</v>
      </c>
      <c r="D6" s="4"/>
      <c r="E6" s="4"/>
      <c r="F6" s="4"/>
      <c r="G6" s="4"/>
      <c r="H6" s="19" t="str">
        <f t="shared" si="0"/>
        <v/>
      </c>
      <c r="I6" s="6"/>
    </row>
    <row r="7" spans="1:9" ht="25.5" customHeight="1" x14ac:dyDescent="0.25">
      <c r="A7" s="18" t="s">
        <v>175</v>
      </c>
      <c r="B7" s="5" t="s">
        <v>176</v>
      </c>
      <c r="C7" s="10">
        <v>5</v>
      </c>
      <c r="D7" s="4"/>
      <c r="E7" s="4"/>
      <c r="F7" s="4"/>
      <c r="G7" s="4"/>
      <c r="H7" s="19" t="str">
        <f t="shared" si="0"/>
        <v/>
      </c>
      <c r="I7" s="6"/>
    </row>
    <row r="8" spans="1:9" ht="25.5" customHeight="1" x14ac:dyDescent="0.25">
      <c r="A8" s="18" t="s">
        <v>175</v>
      </c>
      <c r="B8" s="5" t="s">
        <v>177</v>
      </c>
      <c r="C8" s="10">
        <v>5</v>
      </c>
      <c r="D8" s="4"/>
      <c r="E8" s="4"/>
      <c r="F8" s="4"/>
      <c r="G8" s="4"/>
      <c r="H8" s="19" t="str">
        <f t="shared" si="0"/>
        <v/>
      </c>
      <c r="I8" s="6"/>
    </row>
    <row r="9" spans="1:9" ht="25.5" customHeight="1" x14ac:dyDescent="0.25">
      <c r="A9" s="18" t="s">
        <v>178</v>
      </c>
      <c r="B9" s="5" t="s">
        <v>179</v>
      </c>
      <c r="C9" s="10">
        <v>5</v>
      </c>
      <c r="D9" s="4"/>
      <c r="E9" s="4"/>
      <c r="F9" s="4"/>
      <c r="G9" s="4"/>
      <c r="H9" s="19" t="str">
        <f t="shared" si="0"/>
        <v/>
      </c>
      <c r="I9" s="6"/>
    </row>
    <row r="10" spans="1:9" ht="25.5" customHeight="1" x14ac:dyDescent="0.25">
      <c r="A10" s="18" t="s">
        <v>178</v>
      </c>
      <c r="B10" s="5" t="s">
        <v>180</v>
      </c>
      <c r="C10" s="10">
        <v>5</v>
      </c>
      <c r="D10" s="4"/>
      <c r="E10" s="4"/>
      <c r="F10" s="4"/>
      <c r="G10" s="4"/>
      <c r="H10" s="19" t="str">
        <f t="shared" si="0"/>
        <v/>
      </c>
      <c r="I10" s="6"/>
    </row>
    <row r="11" spans="1:9" ht="25.5" customHeight="1" x14ac:dyDescent="0.25">
      <c r="A11" s="18" t="s">
        <v>181</v>
      </c>
      <c r="B11" s="5" t="s">
        <v>182</v>
      </c>
      <c r="C11" s="10">
        <v>5</v>
      </c>
      <c r="D11" s="4"/>
      <c r="E11" s="4"/>
      <c r="F11" s="4"/>
      <c r="G11" s="4"/>
      <c r="H11" s="19" t="str">
        <f t="shared" si="0"/>
        <v/>
      </c>
      <c r="I11" s="6"/>
    </row>
    <row r="12" spans="1:9" ht="25.5" customHeight="1" x14ac:dyDescent="0.25">
      <c r="A12" s="18" t="s">
        <v>181</v>
      </c>
      <c r="B12" s="5" t="s">
        <v>183</v>
      </c>
      <c r="C12" s="10">
        <v>5</v>
      </c>
      <c r="D12" s="4"/>
      <c r="E12" s="4"/>
      <c r="F12" s="4"/>
      <c r="G12" s="4"/>
      <c r="H12" s="19" t="str">
        <f t="shared" si="0"/>
        <v/>
      </c>
      <c r="I12" s="6"/>
    </row>
    <row r="13" spans="1:9" ht="25.5" customHeight="1" x14ac:dyDescent="0.25">
      <c r="A13" s="18" t="s">
        <v>181</v>
      </c>
      <c r="B13" s="5" t="s">
        <v>184</v>
      </c>
      <c r="C13" s="10">
        <v>5</v>
      </c>
      <c r="D13" s="4"/>
      <c r="E13" s="4"/>
      <c r="F13" s="4"/>
      <c r="G13" s="4"/>
      <c r="H13" s="19" t="str">
        <f t="shared" si="0"/>
        <v/>
      </c>
      <c r="I13" s="6"/>
    </row>
    <row r="14" spans="1:9" ht="25.5" customHeight="1" x14ac:dyDescent="0.25">
      <c r="A14" s="18" t="s">
        <v>185</v>
      </c>
      <c r="B14" s="5" t="s">
        <v>186</v>
      </c>
      <c r="C14" s="10">
        <v>5</v>
      </c>
      <c r="D14" s="4" t="s">
        <v>187</v>
      </c>
      <c r="E14" s="4" t="s">
        <v>81</v>
      </c>
      <c r="F14" s="42" t="s">
        <v>403</v>
      </c>
      <c r="G14" s="4" t="s">
        <v>188</v>
      </c>
      <c r="H14" s="19">
        <f t="shared" si="0"/>
        <v>1</v>
      </c>
      <c r="I14" s="6"/>
    </row>
    <row r="15" spans="1:9" ht="25.5" customHeight="1" x14ac:dyDescent="0.25">
      <c r="A15" s="18" t="s">
        <v>189</v>
      </c>
      <c r="B15" s="5" t="s">
        <v>190</v>
      </c>
      <c r="C15" s="10">
        <v>5</v>
      </c>
      <c r="D15" s="4"/>
      <c r="E15" s="4"/>
      <c r="F15" s="4"/>
      <c r="G15" s="4"/>
      <c r="H15" s="19" t="str">
        <f t="shared" si="0"/>
        <v/>
      </c>
      <c r="I15" s="6"/>
    </row>
    <row r="16" spans="1:9" ht="25.5" customHeight="1" x14ac:dyDescent="0.25">
      <c r="A16" s="18" t="s">
        <v>189</v>
      </c>
      <c r="B16" s="5" t="s">
        <v>191</v>
      </c>
      <c r="C16" s="10">
        <v>5</v>
      </c>
      <c r="D16" s="4" t="s">
        <v>192</v>
      </c>
      <c r="E16" s="4" t="s">
        <v>81</v>
      </c>
      <c r="F16" s="4" t="s">
        <v>404</v>
      </c>
      <c r="G16" s="4" t="s">
        <v>188</v>
      </c>
      <c r="H16" s="19">
        <f t="shared" si="0"/>
        <v>1</v>
      </c>
      <c r="I16" s="6"/>
    </row>
    <row r="17" spans="1:9" ht="25.5" customHeight="1" x14ac:dyDescent="0.25">
      <c r="A17" s="18" t="s">
        <v>193</v>
      </c>
      <c r="B17" s="5" t="s">
        <v>194</v>
      </c>
      <c r="C17" s="10">
        <v>4</v>
      </c>
      <c r="D17" s="4"/>
      <c r="E17" s="4"/>
      <c r="F17" s="4"/>
      <c r="G17" s="4"/>
      <c r="H17" s="19" t="str">
        <f t="shared" si="0"/>
        <v/>
      </c>
      <c r="I17" s="6"/>
    </row>
    <row r="18" spans="1:9" ht="25.5" customHeight="1" x14ac:dyDescent="0.25">
      <c r="A18" s="18" t="s">
        <v>193</v>
      </c>
      <c r="B18" s="5" t="s">
        <v>195</v>
      </c>
      <c r="C18" s="10">
        <v>3</v>
      </c>
      <c r="D18" s="4"/>
      <c r="E18" s="4"/>
      <c r="F18" s="4"/>
      <c r="G18" s="4"/>
      <c r="H18" s="19" t="str">
        <f t="shared" si="0"/>
        <v/>
      </c>
      <c r="I18" s="6"/>
    </row>
    <row r="19" spans="1:9" ht="25.5" customHeight="1" x14ac:dyDescent="0.25">
      <c r="A19" s="18" t="s">
        <v>193</v>
      </c>
      <c r="B19" s="5" t="s">
        <v>196</v>
      </c>
      <c r="C19" s="10">
        <v>3</v>
      </c>
      <c r="D19" s="4"/>
      <c r="E19" s="4"/>
      <c r="F19" s="4"/>
      <c r="G19" s="4"/>
      <c r="H19" s="19" t="str">
        <f t="shared" si="0"/>
        <v/>
      </c>
      <c r="I19" s="6"/>
    </row>
    <row r="20" spans="1:9" ht="25.5" customHeight="1" x14ac:dyDescent="0.25">
      <c r="A20" s="18" t="s">
        <v>197</v>
      </c>
      <c r="B20" s="5" t="s">
        <v>198</v>
      </c>
      <c r="C20" s="10">
        <v>5</v>
      </c>
      <c r="D20" s="4"/>
      <c r="E20" s="4"/>
      <c r="F20" s="4"/>
      <c r="G20" s="4"/>
      <c r="H20" s="19" t="str">
        <f t="shared" si="0"/>
        <v/>
      </c>
      <c r="I20" s="6"/>
    </row>
    <row r="21" spans="1:9" ht="25.5" customHeight="1" x14ac:dyDescent="0.25">
      <c r="A21" s="18" t="s">
        <v>197</v>
      </c>
      <c r="B21" s="5" t="s">
        <v>199</v>
      </c>
      <c r="C21" s="10">
        <v>5</v>
      </c>
      <c r="D21" s="4"/>
      <c r="E21" s="4"/>
      <c r="F21" s="4"/>
      <c r="G21" s="4"/>
      <c r="H21" s="19" t="str">
        <f t="shared" si="0"/>
        <v/>
      </c>
      <c r="I21" s="6"/>
    </row>
    <row r="22" spans="1:9" ht="25.5" customHeight="1" x14ac:dyDescent="0.25">
      <c r="A22" s="18" t="s">
        <v>200</v>
      </c>
      <c r="B22" s="5" t="s">
        <v>201</v>
      </c>
      <c r="C22" s="10">
        <v>4</v>
      </c>
      <c r="D22" s="4" t="s">
        <v>202</v>
      </c>
      <c r="E22" s="4" t="s">
        <v>81</v>
      </c>
      <c r="F22" s="4" t="s">
        <v>203</v>
      </c>
      <c r="G22" s="4" t="s">
        <v>188</v>
      </c>
      <c r="H22" s="19">
        <f t="shared" si="0"/>
        <v>1</v>
      </c>
      <c r="I22" s="6"/>
    </row>
    <row r="23" spans="1:9" ht="25.5" customHeight="1" x14ac:dyDescent="0.25">
      <c r="A23" s="18" t="s">
        <v>200</v>
      </c>
      <c r="B23" s="5" t="s">
        <v>204</v>
      </c>
      <c r="C23" s="10">
        <v>3</v>
      </c>
      <c r="D23" s="4" t="s">
        <v>205</v>
      </c>
      <c r="E23" s="4" t="s">
        <v>81</v>
      </c>
      <c r="F23" s="4" t="s">
        <v>206</v>
      </c>
      <c r="G23" s="4" t="s">
        <v>188</v>
      </c>
      <c r="H23" s="19">
        <f t="shared" si="0"/>
        <v>1</v>
      </c>
      <c r="I23" s="6"/>
    </row>
    <row r="24" spans="1:9" ht="25.5" customHeight="1" x14ac:dyDescent="0.25">
      <c r="A24" s="18" t="s">
        <v>200</v>
      </c>
      <c r="B24" s="5" t="s">
        <v>207</v>
      </c>
      <c r="C24" s="10">
        <v>3</v>
      </c>
      <c r="D24" s="4" t="s">
        <v>208</v>
      </c>
      <c r="E24" s="4" t="s">
        <v>81</v>
      </c>
      <c r="F24" s="4" t="s">
        <v>209</v>
      </c>
      <c r="G24" s="4" t="s">
        <v>188</v>
      </c>
      <c r="H24" s="19">
        <f t="shared" si="0"/>
        <v>1</v>
      </c>
      <c r="I24" s="6"/>
    </row>
    <row r="25" spans="1:9" ht="25.5" customHeight="1" x14ac:dyDescent="0.25">
      <c r="A25" s="18" t="s">
        <v>57</v>
      </c>
      <c r="B25" s="5" t="s">
        <v>210</v>
      </c>
      <c r="C25" s="10">
        <v>0</v>
      </c>
      <c r="D25" s="4"/>
      <c r="E25" s="4"/>
      <c r="F25" s="4"/>
      <c r="G25" s="4"/>
      <c r="H25" s="19" t="str">
        <f t="shared" si="0"/>
        <v/>
      </c>
      <c r="I25" s="6"/>
    </row>
    <row r="26" spans="1:9" ht="25.5" customHeight="1" x14ac:dyDescent="0.25">
      <c r="A26" s="18" t="s">
        <v>57</v>
      </c>
      <c r="B26" s="5" t="s">
        <v>211</v>
      </c>
      <c r="C26" s="10">
        <v>0</v>
      </c>
      <c r="D26" s="4"/>
      <c r="E26" s="4"/>
      <c r="F26" s="4"/>
      <c r="G26" s="4"/>
      <c r="H26" s="19" t="str">
        <f t="shared" si="0"/>
        <v/>
      </c>
      <c r="I26" s="6"/>
    </row>
    <row r="27" spans="1:9" ht="25.5" customHeight="1" x14ac:dyDescent="0.25">
      <c r="A27" s="18" t="s">
        <v>57</v>
      </c>
      <c r="B27" s="5" t="s">
        <v>212</v>
      </c>
      <c r="C27" s="10">
        <v>0</v>
      </c>
      <c r="D27" s="4"/>
      <c r="E27" s="4"/>
      <c r="F27" s="4"/>
      <c r="G27" s="4"/>
      <c r="H27" s="19" t="str">
        <f t="shared" si="0"/>
        <v/>
      </c>
      <c r="I27" s="6"/>
    </row>
    <row r="29" spans="1:9" x14ac:dyDescent="0.25">
      <c r="B29" s="9" t="s">
        <v>213</v>
      </c>
      <c r="C29" s="19">
        <f>IFERROR(AVERAGE(H5:H27),"")</f>
        <v>1</v>
      </c>
    </row>
    <row r="30" spans="1:9" x14ac:dyDescent="0.25">
      <c r="B30" s="9" t="s">
        <v>214</v>
      </c>
      <c r="C30" s="10" t="str">
        <f>COUNTIF(G5:G27,"Done")&amp;" of 23"</f>
        <v>5 of 23</v>
      </c>
    </row>
    <row r="32" spans="1:9" x14ac:dyDescent="0.25">
      <c r="A32" s="14" t="s">
        <v>215</v>
      </c>
    </row>
  </sheetData>
  <dataValidations count="1">
    <dataValidation type="list" allowBlank="1" showErrorMessage="1" error="Choose a value from the list." sqref="G5:G27" xr:uid="{00000000-0002-0000-0500-000000000000}">
      <formula1>"Not started,Draft,In review,Done"</formula1>
      <formula2>0</formula2>
    </dataValidation>
  </dataValidations>
  <hyperlinks>
    <hyperlink ref="F14" r:id="rId1" xr:uid="{CE1385D5-EA50-4FDE-9F14-478702D781A1}"/>
  </hyperlinks>
  <pageMargins left="0.75" right="0.75" top="1" bottom="1" header="0.511811023622047" footer="0.511811023622047"/>
  <pageSetup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F14"/>
  <sheetViews>
    <sheetView showGridLines="0" zoomScaleNormal="100" workbookViewId="0"/>
  </sheetViews>
  <sheetFormatPr defaultColWidth="8.7109375" defaultRowHeight="15" x14ac:dyDescent="0.25"/>
  <cols>
    <col min="1" max="1" width="7" customWidth="1"/>
    <col min="2" max="2" width="66" customWidth="1"/>
    <col min="3" max="3" width="26" customWidth="1"/>
    <col min="4" max="5" width="14" customWidth="1"/>
    <col min="6" max="6" width="30" customWidth="1"/>
  </cols>
  <sheetData>
    <row r="1" spans="1:6" ht="19.5" customHeight="1" x14ac:dyDescent="0.3">
      <c r="A1" s="1" t="s">
        <v>216</v>
      </c>
    </row>
    <row r="2" spans="1:6" x14ac:dyDescent="0.25">
      <c r="A2" s="2" t="s">
        <v>217</v>
      </c>
    </row>
    <row r="4" spans="1:6" x14ac:dyDescent="0.25">
      <c r="A4" s="7" t="s">
        <v>218</v>
      </c>
      <c r="B4" s="7" t="s">
        <v>74</v>
      </c>
      <c r="C4" s="7" t="s">
        <v>219</v>
      </c>
      <c r="D4" s="11" t="s">
        <v>220</v>
      </c>
      <c r="E4" s="15" t="s">
        <v>221</v>
      </c>
      <c r="F4" s="7" t="s">
        <v>222</v>
      </c>
    </row>
    <row r="5" spans="1:6" ht="30" customHeight="1" x14ac:dyDescent="0.25">
      <c r="A5" s="10">
        <v>1</v>
      </c>
      <c r="B5" s="5" t="s">
        <v>223</v>
      </c>
      <c r="C5" s="5" t="s">
        <v>224</v>
      </c>
      <c r="D5" s="20"/>
      <c r="E5" s="21"/>
      <c r="F5" s="22"/>
    </row>
    <row r="6" spans="1:6" ht="30" customHeight="1" x14ac:dyDescent="0.25">
      <c r="A6" s="10">
        <v>2</v>
      </c>
      <c r="B6" s="5" t="s">
        <v>225</v>
      </c>
      <c r="C6" s="5" t="s">
        <v>226</v>
      </c>
      <c r="D6" s="20"/>
      <c r="E6" s="21"/>
      <c r="F6" s="22"/>
    </row>
    <row r="7" spans="1:6" ht="30" customHeight="1" x14ac:dyDescent="0.25">
      <c r="A7" s="10">
        <v>3</v>
      </c>
      <c r="B7" s="5" t="s">
        <v>227</v>
      </c>
      <c r="C7" s="5" t="s">
        <v>228</v>
      </c>
      <c r="D7" s="20"/>
      <c r="E7" s="21"/>
      <c r="F7" s="22"/>
    </row>
    <row r="8" spans="1:6" ht="30" customHeight="1" x14ac:dyDescent="0.25">
      <c r="A8" s="10">
        <v>4</v>
      </c>
      <c r="B8" s="5" t="s">
        <v>229</v>
      </c>
      <c r="C8" s="5" t="s">
        <v>230</v>
      </c>
      <c r="D8" s="20"/>
      <c r="E8" s="21"/>
      <c r="F8" s="22"/>
    </row>
    <row r="9" spans="1:6" ht="30" customHeight="1" x14ac:dyDescent="0.25">
      <c r="A9" s="10">
        <v>5</v>
      </c>
      <c r="B9" s="5" t="s">
        <v>231</v>
      </c>
      <c r="C9" s="5" t="s">
        <v>232</v>
      </c>
      <c r="D9" s="20"/>
      <c r="E9" s="21"/>
      <c r="F9" s="22"/>
    </row>
    <row r="10" spans="1:6" ht="30" customHeight="1" x14ac:dyDescent="0.25">
      <c r="A10" s="10">
        <v>6</v>
      </c>
      <c r="B10" s="5" t="s">
        <v>233</v>
      </c>
      <c r="C10" s="5" t="s">
        <v>234</v>
      </c>
      <c r="D10" s="20"/>
      <c r="E10" s="21"/>
      <c r="F10" s="22"/>
    </row>
    <row r="11" spans="1:6" ht="30" customHeight="1" x14ac:dyDescent="0.25">
      <c r="A11" s="10">
        <v>7</v>
      </c>
      <c r="B11" s="5" t="s">
        <v>235</v>
      </c>
      <c r="C11" s="5" t="s">
        <v>236</v>
      </c>
      <c r="D11" s="20"/>
      <c r="E11" s="21"/>
      <c r="F11" s="22"/>
    </row>
    <row r="12" spans="1:6" ht="30" customHeight="1" x14ac:dyDescent="0.25">
      <c r="A12" s="10">
        <v>8</v>
      </c>
      <c r="B12" s="5" t="s">
        <v>237</v>
      </c>
      <c r="C12" s="5" t="s">
        <v>238</v>
      </c>
      <c r="D12" s="20" t="s">
        <v>239</v>
      </c>
      <c r="E12" s="21"/>
      <c r="F12" s="22" t="s">
        <v>240</v>
      </c>
    </row>
    <row r="13" spans="1:6" ht="30" customHeight="1" x14ac:dyDescent="0.25">
      <c r="A13" s="10">
        <v>9</v>
      </c>
      <c r="B13" s="5" t="s">
        <v>241</v>
      </c>
      <c r="C13" s="5" t="s">
        <v>242</v>
      </c>
      <c r="D13" s="20" t="s">
        <v>239</v>
      </c>
      <c r="E13" s="21"/>
      <c r="F13" s="22" t="s">
        <v>243</v>
      </c>
    </row>
    <row r="14" spans="1:6" ht="30" customHeight="1" x14ac:dyDescent="0.25">
      <c r="A14" s="10">
        <v>10</v>
      </c>
      <c r="B14" s="5" t="s">
        <v>244</v>
      </c>
      <c r="C14" s="5" t="s">
        <v>245</v>
      </c>
      <c r="D14" s="20"/>
      <c r="E14" s="21"/>
      <c r="F14" s="22"/>
    </row>
  </sheetData>
  <conditionalFormatting sqref="D5:E14">
    <cfRule type="cellIs" dxfId="4" priority="2" operator="equal">
      <formula>"Yes"</formula>
    </cfRule>
    <cfRule type="cellIs" dxfId="3" priority="3" operator="equal">
      <formula>"Partly"</formula>
    </cfRule>
    <cfRule type="cellIs" dxfId="2" priority="4" operator="equal">
      <formula>"No"</formula>
    </cfRule>
  </conditionalFormatting>
  <dataValidations count="1">
    <dataValidation type="list" allowBlank="1" sqref="D5:E14" xr:uid="{00000000-0002-0000-0600-000000000000}">
      <formula1>"Yes,Partly,No"</formula1>
      <formula2>0</formula2>
    </dataValidation>
  </dataValidations>
  <pageMargins left="0.75" right="0.75" top="1" bottom="1" header="0.511811023622047" footer="0.511811023622047"/>
  <pageSetup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J51"/>
  <sheetViews>
    <sheetView showGridLines="0" zoomScaleNormal="100" workbookViewId="0">
      <pane xSplit="1" ySplit="4" topLeftCell="B5" activePane="bottomRight" state="frozen"/>
      <selection pane="topRight" activeCell="B1" sqref="B1"/>
      <selection pane="bottomLeft" activeCell="A5" sqref="A5"/>
      <selection pane="bottomRight"/>
    </sheetView>
  </sheetViews>
  <sheetFormatPr defaultColWidth="8.7109375" defaultRowHeight="15" x14ac:dyDescent="0.25"/>
  <cols>
    <col min="1" max="1" width="6" customWidth="1"/>
    <col min="2" max="3" width="12" customWidth="1"/>
    <col min="4" max="4" width="16" customWidth="1"/>
    <col min="5" max="5" width="24" customWidth="1"/>
    <col min="6" max="6" width="44" customWidth="1"/>
    <col min="7" max="7" width="34" customWidth="1"/>
    <col min="8" max="8" width="14" customWidth="1"/>
    <col min="9" max="9" width="34" customWidth="1"/>
    <col min="10" max="10" width="28" customWidth="1"/>
  </cols>
  <sheetData>
    <row r="1" spans="1:10" ht="19.5" customHeight="1" x14ac:dyDescent="0.3">
      <c r="A1" s="1" t="s">
        <v>246</v>
      </c>
    </row>
    <row r="2" spans="1:10" x14ac:dyDescent="0.25">
      <c r="A2" s="2" t="s">
        <v>247</v>
      </c>
    </row>
    <row r="4" spans="1:10" ht="43.5" customHeight="1" x14ac:dyDescent="0.25">
      <c r="A4" s="7" t="s">
        <v>248</v>
      </c>
      <c r="B4" s="11" t="s">
        <v>249</v>
      </c>
      <c r="C4" s="11" t="s">
        <v>70</v>
      </c>
      <c r="D4" s="11" t="s">
        <v>168</v>
      </c>
      <c r="E4" s="11" t="s">
        <v>250</v>
      </c>
      <c r="F4" s="11" t="s">
        <v>251</v>
      </c>
      <c r="G4" s="11" t="s">
        <v>252</v>
      </c>
      <c r="H4" s="11" t="s">
        <v>253</v>
      </c>
      <c r="I4" s="11" t="s">
        <v>254</v>
      </c>
      <c r="J4" s="15" t="s">
        <v>96</v>
      </c>
    </row>
    <row r="5" spans="1:10" ht="33.75" customHeight="1" x14ac:dyDescent="0.25">
      <c r="A5" s="16" t="s">
        <v>171</v>
      </c>
      <c r="B5" s="4" t="s">
        <v>255</v>
      </c>
      <c r="C5" s="4" t="s">
        <v>81</v>
      </c>
      <c r="D5" s="4" t="s">
        <v>256</v>
      </c>
      <c r="E5" s="4" t="s">
        <v>257</v>
      </c>
      <c r="F5" s="4" t="s">
        <v>258</v>
      </c>
      <c r="G5" s="4" t="s">
        <v>259</v>
      </c>
      <c r="H5" s="4" t="s">
        <v>260</v>
      </c>
      <c r="I5" s="4" t="s">
        <v>261</v>
      </c>
      <c r="J5" s="6"/>
    </row>
    <row r="6" spans="1:10" ht="33.75" customHeight="1" x14ac:dyDescent="0.25">
      <c r="A6" s="16" t="s">
        <v>173</v>
      </c>
      <c r="B6" s="4" t="s">
        <v>262</v>
      </c>
      <c r="C6" s="4" t="s">
        <v>81</v>
      </c>
      <c r="D6" s="4" t="s">
        <v>256</v>
      </c>
      <c r="E6" s="4" t="s">
        <v>263</v>
      </c>
      <c r="F6" s="4" t="s">
        <v>264</v>
      </c>
      <c r="G6" s="4" t="s">
        <v>265</v>
      </c>
      <c r="H6" s="4" t="s">
        <v>260</v>
      </c>
      <c r="I6" s="4" t="s">
        <v>266</v>
      </c>
      <c r="J6" s="6"/>
    </row>
    <row r="7" spans="1:10" ht="33.75" customHeight="1" x14ac:dyDescent="0.25">
      <c r="A7" s="16" t="s">
        <v>175</v>
      </c>
      <c r="B7" s="4" t="s">
        <v>262</v>
      </c>
      <c r="C7" s="4" t="s">
        <v>81</v>
      </c>
      <c r="D7" s="4" t="s">
        <v>256</v>
      </c>
      <c r="E7" s="4" t="s">
        <v>267</v>
      </c>
      <c r="F7" s="4" t="s">
        <v>268</v>
      </c>
      <c r="G7" s="4" t="s">
        <v>269</v>
      </c>
      <c r="H7" s="4" t="s">
        <v>260</v>
      </c>
      <c r="I7" s="4" t="s">
        <v>270</v>
      </c>
      <c r="J7" s="6"/>
    </row>
    <row r="8" spans="1:10" ht="33.75" customHeight="1" x14ac:dyDescent="0.25">
      <c r="A8" s="16" t="s">
        <v>178</v>
      </c>
      <c r="B8" s="4" t="s">
        <v>262</v>
      </c>
      <c r="C8" s="4" t="s">
        <v>81</v>
      </c>
      <c r="D8" s="4" t="s">
        <v>256</v>
      </c>
      <c r="E8" s="4" t="s">
        <v>271</v>
      </c>
      <c r="F8" s="4" t="s">
        <v>272</v>
      </c>
      <c r="G8" s="4" t="s">
        <v>273</v>
      </c>
      <c r="H8" s="4" t="s">
        <v>274</v>
      </c>
      <c r="I8" s="4" t="s">
        <v>275</v>
      </c>
      <c r="J8" s="6"/>
    </row>
    <row r="9" spans="1:10" ht="33.75" customHeight="1" x14ac:dyDescent="0.25">
      <c r="A9" s="16" t="s">
        <v>181</v>
      </c>
      <c r="B9" s="4"/>
      <c r="C9" s="4"/>
      <c r="D9" s="4"/>
      <c r="E9" s="4"/>
      <c r="F9" s="4"/>
      <c r="G9" s="4"/>
      <c r="H9" s="4"/>
      <c r="I9" s="4"/>
      <c r="J9" s="6"/>
    </row>
    <row r="10" spans="1:10" ht="33.75" customHeight="1" x14ac:dyDescent="0.25">
      <c r="A10" s="16" t="s">
        <v>185</v>
      </c>
      <c r="B10" s="4"/>
      <c r="C10" s="4"/>
      <c r="D10" s="4"/>
      <c r="E10" s="4"/>
      <c r="F10" s="4"/>
      <c r="G10" s="4"/>
      <c r="H10" s="4"/>
      <c r="I10" s="4"/>
      <c r="J10" s="6"/>
    </row>
    <row r="11" spans="1:10" ht="33.75" customHeight="1" x14ac:dyDescent="0.25">
      <c r="A11" s="16" t="s">
        <v>189</v>
      </c>
      <c r="B11" s="4"/>
      <c r="C11" s="4"/>
      <c r="D11" s="4"/>
      <c r="E11" s="4"/>
      <c r="F11" s="4"/>
      <c r="G11" s="4"/>
      <c r="H11" s="4"/>
      <c r="I11" s="4"/>
      <c r="J11" s="6"/>
    </row>
    <row r="12" spans="1:10" ht="33.75" customHeight="1" x14ac:dyDescent="0.25">
      <c r="A12" s="16" t="s">
        <v>193</v>
      </c>
      <c r="B12" s="4"/>
      <c r="C12" s="4"/>
      <c r="D12" s="4"/>
      <c r="E12" s="4"/>
      <c r="F12" s="4"/>
      <c r="G12" s="4"/>
      <c r="H12" s="4"/>
      <c r="I12" s="4"/>
      <c r="J12" s="6"/>
    </row>
    <row r="13" spans="1:10" ht="33.75" customHeight="1" x14ac:dyDescent="0.25">
      <c r="A13" s="16" t="s">
        <v>197</v>
      </c>
      <c r="B13" s="4"/>
      <c r="C13" s="4"/>
      <c r="D13" s="4"/>
      <c r="E13" s="4"/>
      <c r="F13" s="4"/>
      <c r="G13" s="4"/>
      <c r="H13" s="4"/>
      <c r="I13" s="4"/>
      <c r="J13" s="6"/>
    </row>
    <row r="14" spans="1:10" ht="33.75" customHeight="1" x14ac:dyDescent="0.25">
      <c r="A14" s="16" t="s">
        <v>200</v>
      </c>
      <c r="B14" s="4"/>
      <c r="C14" s="4"/>
      <c r="D14" s="4"/>
      <c r="E14" s="4"/>
      <c r="F14" s="4"/>
      <c r="G14" s="4"/>
      <c r="H14" s="4"/>
      <c r="I14" s="4"/>
      <c r="J14" s="6"/>
    </row>
    <row r="15" spans="1:10" ht="33.75" customHeight="1" x14ac:dyDescent="0.25">
      <c r="A15" s="16" t="s">
        <v>276</v>
      </c>
      <c r="B15" s="4"/>
      <c r="C15" s="4"/>
      <c r="D15" s="4"/>
      <c r="E15" s="4"/>
      <c r="F15" s="4"/>
      <c r="G15" s="4"/>
      <c r="H15" s="4"/>
      <c r="I15" s="4"/>
      <c r="J15" s="6"/>
    </row>
    <row r="16" spans="1:10" ht="33.75" customHeight="1" x14ac:dyDescent="0.25">
      <c r="A16" s="16" t="s">
        <v>277</v>
      </c>
      <c r="B16" s="4"/>
      <c r="C16" s="4"/>
      <c r="D16" s="4"/>
      <c r="E16" s="4"/>
      <c r="F16" s="4"/>
      <c r="G16" s="4"/>
      <c r="H16" s="4"/>
      <c r="I16" s="4"/>
      <c r="J16" s="6"/>
    </row>
    <row r="17" spans="1:10" ht="33.75" customHeight="1" x14ac:dyDescent="0.25">
      <c r="A17" s="16" t="s">
        <v>278</v>
      </c>
      <c r="B17" s="4"/>
      <c r="C17" s="4"/>
      <c r="D17" s="4"/>
      <c r="E17" s="4"/>
      <c r="F17" s="4"/>
      <c r="G17" s="4"/>
      <c r="H17" s="4"/>
      <c r="I17" s="4"/>
      <c r="J17" s="6"/>
    </row>
    <row r="18" spans="1:10" ht="33.75" customHeight="1" x14ac:dyDescent="0.25">
      <c r="A18" s="16" t="s">
        <v>279</v>
      </c>
      <c r="B18" s="4"/>
      <c r="C18" s="4"/>
      <c r="D18" s="4"/>
      <c r="E18" s="4"/>
      <c r="F18" s="4"/>
      <c r="G18" s="4"/>
      <c r="H18" s="4"/>
      <c r="I18" s="4"/>
      <c r="J18" s="6"/>
    </row>
    <row r="19" spans="1:10" ht="33.75" customHeight="1" x14ac:dyDescent="0.25">
      <c r="A19" s="16" t="s">
        <v>280</v>
      </c>
      <c r="B19" s="4"/>
      <c r="C19" s="4"/>
      <c r="D19" s="4"/>
      <c r="E19" s="4"/>
      <c r="F19" s="4"/>
      <c r="G19" s="4"/>
      <c r="H19" s="4"/>
      <c r="I19" s="4"/>
      <c r="J19" s="6"/>
    </row>
    <row r="20" spans="1:10" ht="33.75" customHeight="1" x14ac:dyDescent="0.25">
      <c r="A20" s="16" t="s">
        <v>281</v>
      </c>
      <c r="B20" s="4"/>
      <c r="C20" s="4"/>
      <c r="D20" s="4"/>
      <c r="E20" s="4"/>
      <c r="F20" s="4"/>
      <c r="G20" s="4"/>
      <c r="H20" s="4"/>
      <c r="I20" s="4"/>
      <c r="J20" s="6"/>
    </row>
    <row r="21" spans="1:10" ht="33.75" customHeight="1" x14ac:dyDescent="0.25">
      <c r="A21" s="16" t="s">
        <v>282</v>
      </c>
      <c r="B21" s="4"/>
      <c r="C21" s="4"/>
      <c r="D21" s="4"/>
      <c r="E21" s="4"/>
      <c r="F21" s="4"/>
      <c r="G21" s="4"/>
      <c r="H21" s="4"/>
      <c r="I21" s="4"/>
      <c r="J21" s="6"/>
    </row>
    <row r="22" spans="1:10" ht="33.75" customHeight="1" x14ac:dyDescent="0.25">
      <c r="A22" s="16" t="s">
        <v>283</v>
      </c>
      <c r="B22" s="4"/>
      <c r="C22" s="4"/>
      <c r="D22" s="4"/>
      <c r="E22" s="4"/>
      <c r="F22" s="4"/>
      <c r="G22" s="4"/>
      <c r="H22" s="4"/>
      <c r="I22" s="4"/>
      <c r="J22" s="6"/>
    </row>
    <row r="23" spans="1:10" ht="33.75" customHeight="1" x14ac:dyDescent="0.25">
      <c r="A23" s="16" t="s">
        <v>284</v>
      </c>
      <c r="B23" s="4"/>
      <c r="C23" s="4"/>
      <c r="D23" s="4"/>
      <c r="E23" s="4"/>
      <c r="F23" s="4"/>
      <c r="G23" s="4"/>
      <c r="H23" s="4"/>
      <c r="I23" s="4"/>
      <c r="J23" s="6"/>
    </row>
    <row r="24" spans="1:10" ht="33.75" customHeight="1" x14ac:dyDescent="0.25">
      <c r="A24" s="16" t="s">
        <v>285</v>
      </c>
      <c r="B24" s="4"/>
      <c r="C24" s="4"/>
      <c r="D24" s="4"/>
      <c r="E24" s="4"/>
      <c r="F24" s="4"/>
      <c r="G24" s="4"/>
      <c r="H24" s="4"/>
      <c r="I24" s="4"/>
      <c r="J24" s="6"/>
    </row>
    <row r="25" spans="1:10" ht="33.75" customHeight="1" x14ac:dyDescent="0.25">
      <c r="A25" s="16" t="s">
        <v>286</v>
      </c>
      <c r="B25" s="4"/>
      <c r="C25" s="4"/>
      <c r="D25" s="4"/>
      <c r="E25" s="4"/>
      <c r="F25" s="4"/>
      <c r="G25" s="4"/>
      <c r="H25" s="4"/>
      <c r="I25" s="4"/>
      <c r="J25" s="6"/>
    </row>
    <row r="26" spans="1:10" ht="33.75" customHeight="1" x14ac:dyDescent="0.25">
      <c r="A26" s="16" t="s">
        <v>287</v>
      </c>
      <c r="B26" s="4"/>
      <c r="C26" s="4"/>
      <c r="D26" s="4"/>
      <c r="E26" s="4"/>
      <c r="F26" s="4"/>
      <c r="G26" s="4"/>
      <c r="H26" s="4"/>
      <c r="I26" s="4"/>
      <c r="J26" s="6"/>
    </row>
    <row r="27" spans="1:10" ht="33.75" customHeight="1" x14ac:dyDescent="0.25">
      <c r="A27" s="16" t="s">
        <v>288</v>
      </c>
      <c r="B27" s="4"/>
      <c r="C27" s="4"/>
      <c r="D27" s="4"/>
      <c r="E27" s="4"/>
      <c r="F27" s="4"/>
      <c r="G27" s="4"/>
      <c r="H27" s="4"/>
      <c r="I27" s="4"/>
      <c r="J27" s="6"/>
    </row>
    <row r="28" spans="1:10" ht="33.75" customHeight="1" x14ac:dyDescent="0.25">
      <c r="A28" s="16" t="s">
        <v>289</v>
      </c>
      <c r="B28" s="4"/>
      <c r="C28" s="4"/>
      <c r="D28" s="4"/>
      <c r="E28" s="4"/>
      <c r="F28" s="4"/>
      <c r="G28" s="4"/>
      <c r="H28" s="4"/>
      <c r="I28" s="4"/>
      <c r="J28" s="6"/>
    </row>
    <row r="29" spans="1:10" ht="33.75" customHeight="1" x14ac:dyDescent="0.25">
      <c r="A29" s="16" t="s">
        <v>290</v>
      </c>
      <c r="B29" s="4"/>
      <c r="C29" s="4"/>
      <c r="D29" s="4"/>
      <c r="E29" s="4"/>
      <c r="F29" s="4"/>
      <c r="G29" s="4"/>
      <c r="H29" s="4"/>
      <c r="I29" s="4"/>
      <c r="J29" s="6"/>
    </row>
    <row r="30" spans="1:10" ht="33.75" customHeight="1" x14ac:dyDescent="0.25">
      <c r="A30" s="16" t="s">
        <v>291</v>
      </c>
      <c r="B30" s="4"/>
      <c r="C30" s="4"/>
      <c r="D30" s="4"/>
      <c r="E30" s="4"/>
      <c r="F30" s="4"/>
      <c r="G30" s="4"/>
      <c r="H30" s="4"/>
      <c r="I30" s="4"/>
      <c r="J30" s="6"/>
    </row>
    <row r="31" spans="1:10" ht="33.75" customHeight="1" x14ac:dyDescent="0.25">
      <c r="A31" s="16" t="s">
        <v>292</v>
      </c>
      <c r="B31" s="4"/>
      <c r="C31" s="4"/>
      <c r="D31" s="4"/>
      <c r="E31" s="4"/>
      <c r="F31" s="4"/>
      <c r="G31" s="4"/>
      <c r="H31" s="4"/>
      <c r="I31" s="4"/>
      <c r="J31" s="6"/>
    </row>
    <row r="32" spans="1:10" ht="33.75" customHeight="1" x14ac:dyDescent="0.25">
      <c r="A32" s="16" t="s">
        <v>293</v>
      </c>
      <c r="B32" s="4"/>
      <c r="C32" s="4"/>
      <c r="D32" s="4"/>
      <c r="E32" s="4"/>
      <c r="F32" s="4"/>
      <c r="G32" s="4"/>
      <c r="H32" s="4"/>
      <c r="I32" s="4"/>
      <c r="J32" s="6"/>
    </row>
    <row r="33" spans="1:10" ht="33.75" customHeight="1" x14ac:dyDescent="0.25">
      <c r="A33" s="16" t="s">
        <v>294</v>
      </c>
      <c r="B33" s="4"/>
      <c r="C33" s="4"/>
      <c r="D33" s="4"/>
      <c r="E33" s="4"/>
      <c r="F33" s="4"/>
      <c r="G33" s="4"/>
      <c r="H33" s="4"/>
      <c r="I33" s="4"/>
      <c r="J33" s="6"/>
    </row>
    <row r="34" spans="1:10" ht="33.75" customHeight="1" x14ac:dyDescent="0.25">
      <c r="A34" s="16" t="s">
        <v>295</v>
      </c>
      <c r="B34" s="4"/>
      <c r="C34" s="4"/>
      <c r="D34" s="4"/>
      <c r="E34" s="4"/>
      <c r="F34" s="4"/>
      <c r="G34" s="4"/>
      <c r="H34" s="4"/>
      <c r="I34" s="4"/>
      <c r="J34" s="6"/>
    </row>
    <row r="35" spans="1:10" ht="33.75" customHeight="1" x14ac:dyDescent="0.25">
      <c r="A35" s="16" t="s">
        <v>296</v>
      </c>
      <c r="B35" s="4"/>
      <c r="C35" s="4"/>
      <c r="D35" s="4"/>
      <c r="E35" s="4"/>
      <c r="F35" s="4"/>
      <c r="G35" s="4"/>
      <c r="H35" s="4"/>
      <c r="I35" s="4"/>
      <c r="J35" s="6"/>
    </row>
    <row r="36" spans="1:10" ht="33.75" customHeight="1" x14ac:dyDescent="0.25">
      <c r="A36" s="16" t="s">
        <v>297</v>
      </c>
      <c r="B36" s="4"/>
      <c r="C36" s="4"/>
      <c r="D36" s="4"/>
      <c r="E36" s="4"/>
      <c r="F36" s="4"/>
      <c r="G36" s="4"/>
      <c r="H36" s="4"/>
      <c r="I36" s="4"/>
      <c r="J36" s="6"/>
    </row>
    <row r="37" spans="1:10" ht="33.75" customHeight="1" x14ac:dyDescent="0.25">
      <c r="A37" s="16" t="s">
        <v>298</v>
      </c>
      <c r="B37" s="4"/>
      <c r="C37" s="4"/>
      <c r="D37" s="4"/>
      <c r="E37" s="4"/>
      <c r="F37" s="4"/>
      <c r="G37" s="4"/>
      <c r="H37" s="4"/>
      <c r="I37" s="4"/>
      <c r="J37" s="6"/>
    </row>
    <row r="38" spans="1:10" ht="33.75" customHeight="1" x14ac:dyDescent="0.25">
      <c r="A38" s="16" t="s">
        <v>299</v>
      </c>
      <c r="B38" s="4"/>
      <c r="C38" s="4"/>
      <c r="D38" s="4"/>
      <c r="E38" s="4"/>
      <c r="F38" s="4"/>
      <c r="G38" s="4"/>
      <c r="H38" s="4"/>
      <c r="I38" s="4"/>
      <c r="J38" s="6"/>
    </row>
    <row r="39" spans="1:10" ht="33.75" customHeight="1" x14ac:dyDescent="0.25">
      <c r="A39" s="16" t="s">
        <v>300</v>
      </c>
      <c r="B39" s="4"/>
      <c r="C39" s="4"/>
      <c r="D39" s="4"/>
      <c r="E39" s="4"/>
      <c r="F39" s="4"/>
      <c r="G39" s="4"/>
      <c r="H39" s="4"/>
      <c r="I39" s="4"/>
      <c r="J39" s="6"/>
    </row>
    <row r="40" spans="1:10" ht="33.75" customHeight="1" x14ac:dyDescent="0.25">
      <c r="A40" s="16" t="s">
        <v>301</v>
      </c>
      <c r="B40" s="4"/>
      <c r="C40" s="4"/>
      <c r="D40" s="4"/>
      <c r="E40" s="4"/>
      <c r="F40" s="4"/>
      <c r="G40" s="4"/>
      <c r="H40" s="4"/>
      <c r="I40" s="4"/>
      <c r="J40" s="6"/>
    </row>
    <row r="41" spans="1:10" ht="33.75" customHeight="1" x14ac:dyDescent="0.25">
      <c r="A41" s="16" t="s">
        <v>302</v>
      </c>
      <c r="B41" s="4"/>
      <c r="C41" s="4"/>
      <c r="D41" s="4"/>
      <c r="E41" s="4"/>
      <c r="F41" s="4"/>
      <c r="G41" s="4"/>
      <c r="H41" s="4"/>
      <c r="I41" s="4"/>
      <c r="J41" s="6"/>
    </row>
    <row r="42" spans="1:10" ht="33.75" customHeight="1" x14ac:dyDescent="0.25">
      <c r="A42" s="16" t="s">
        <v>303</v>
      </c>
      <c r="B42" s="4"/>
      <c r="C42" s="4"/>
      <c r="D42" s="4"/>
      <c r="E42" s="4"/>
      <c r="F42" s="4"/>
      <c r="G42" s="4"/>
      <c r="H42" s="4"/>
      <c r="I42" s="4"/>
      <c r="J42" s="6"/>
    </row>
    <row r="43" spans="1:10" ht="33.75" customHeight="1" x14ac:dyDescent="0.25">
      <c r="A43" s="16" t="s">
        <v>304</v>
      </c>
      <c r="B43" s="4"/>
      <c r="C43" s="4"/>
      <c r="D43" s="4"/>
      <c r="E43" s="4"/>
      <c r="F43" s="4"/>
      <c r="G43" s="4"/>
      <c r="H43" s="4"/>
      <c r="I43" s="4"/>
      <c r="J43" s="6"/>
    </row>
    <row r="44" spans="1:10" ht="33.75" customHeight="1" x14ac:dyDescent="0.25">
      <c r="A44" s="16" t="s">
        <v>305</v>
      </c>
      <c r="B44" s="4"/>
      <c r="C44" s="4"/>
      <c r="D44" s="4"/>
      <c r="E44" s="4"/>
      <c r="F44" s="4"/>
      <c r="G44" s="4"/>
      <c r="H44" s="4"/>
      <c r="I44" s="4"/>
      <c r="J44" s="6"/>
    </row>
    <row r="46" spans="1:10" x14ac:dyDescent="0.25">
      <c r="E46" s="9" t="s">
        <v>260</v>
      </c>
      <c r="F46" s="10">
        <f>COUNTIF(H5:H44,"Kept")</f>
        <v>3</v>
      </c>
    </row>
    <row r="47" spans="1:10" x14ac:dyDescent="0.25">
      <c r="E47" s="9" t="s">
        <v>274</v>
      </c>
      <c r="F47" s="10">
        <f>COUNTIF(H5:H44,"Changed")</f>
        <v>1</v>
      </c>
    </row>
    <row r="48" spans="1:10" x14ac:dyDescent="0.25">
      <c r="E48" s="9" t="s">
        <v>306</v>
      </c>
      <c r="F48" s="10">
        <f>COUNTIF(H5:H44,"Rejected")</f>
        <v>0</v>
      </c>
    </row>
    <row r="49" spans="1:6" x14ac:dyDescent="0.25">
      <c r="E49" s="9" t="s">
        <v>307</v>
      </c>
      <c r="F49" s="10">
        <f>COUNTIFS(H5:H44,"&lt;&gt;",I5:I44,"")</f>
        <v>0</v>
      </c>
    </row>
    <row r="51" spans="1:6" x14ac:dyDescent="0.25">
      <c r="A51" s="14" t="s">
        <v>308</v>
      </c>
    </row>
  </sheetData>
  <conditionalFormatting sqref="F49">
    <cfRule type="expression" dxfId="1" priority="2">
      <formula>F49&gt;0</formula>
    </cfRule>
  </conditionalFormatting>
  <dataValidations count="2">
    <dataValidation type="list" allowBlank="1" showErrorMessage="1" error="Choose a value from the list." sqref="D5:D44" xr:uid="{00000000-0002-0000-0700-000000000000}">
      <formula1>"GitHub Copilot,ChatGPT,Gemini,Claude,Other"</formula1>
      <formula2>0</formula2>
    </dataValidation>
    <dataValidation type="list" allowBlank="1" showErrorMessage="1" error="Choose a value from the list." sqref="H5:H44" xr:uid="{00000000-0002-0000-0700-000001000000}">
      <formula1>"Kept,Changed,Rejected"</formula1>
      <formula2>0</formula2>
    </dataValidation>
  </dataValidations>
  <pageMargins left="0.75" right="0.75" top="1" bottom="1" header="0.511811023622047" footer="0.511811023622047"/>
  <pageSetup fitToHeight="0"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H64"/>
  <sheetViews>
    <sheetView showGridLines="0" zoomScaleNormal="100" workbookViewId="0"/>
  </sheetViews>
  <sheetFormatPr defaultColWidth="8.7109375" defaultRowHeight="15" x14ac:dyDescent="0.25"/>
  <cols>
    <col min="1" max="1" width="10" customWidth="1"/>
    <col min="2" max="3" width="14" customWidth="1"/>
    <col min="4" max="4" width="26" customWidth="1"/>
    <col min="5" max="5" width="10" customWidth="1"/>
    <col min="6" max="6" width="14" customWidth="1"/>
    <col min="7" max="7" width="44" customWidth="1"/>
    <col min="8" max="8" width="30" customWidth="1"/>
  </cols>
  <sheetData>
    <row r="1" spans="1:8" ht="19.5" customHeight="1" x14ac:dyDescent="0.3">
      <c r="A1" s="1" t="s">
        <v>309</v>
      </c>
    </row>
    <row r="2" spans="1:8" x14ac:dyDescent="0.25">
      <c r="A2" s="2" t="s">
        <v>310</v>
      </c>
    </row>
    <row r="4" spans="1:8" ht="33.75" customHeight="1" x14ac:dyDescent="0.25">
      <c r="A4" s="11" t="s">
        <v>311</v>
      </c>
      <c r="B4" s="11" t="s">
        <v>249</v>
      </c>
      <c r="C4" s="11" t="s">
        <v>70</v>
      </c>
      <c r="D4" s="11" t="s">
        <v>312</v>
      </c>
      <c r="E4" s="11" t="s">
        <v>313</v>
      </c>
      <c r="F4" s="11" t="s">
        <v>314</v>
      </c>
      <c r="G4" s="11" t="s">
        <v>315</v>
      </c>
      <c r="H4" s="15" t="s">
        <v>96</v>
      </c>
    </row>
    <row r="5" spans="1:8" ht="24" customHeight="1" x14ac:dyDescent="0.25">
      <c r="A5" s="4" t="s">
        <v>316</v>
      </c>
      <c r="B5" s="4" t="s">
        <v>317</v>
      </c>
      <c r="C5" s="4" t="s">
        <v>81</v>
      </c>
      <c r="D5" s="4" t="s">
        <v>318</v>
      </c>
      <c r="E5" s="4">
        <v>3</v>
      </c>
      <c r="F5" s="4">
        <v>1</v>
      </c>
      <c r="G5" s="4" t="s">
        <v>319</v>
      </c>
      <c r="H5" s="6"/>
    </row>
    <row r="6" spans="1:8" ht="24" customHeight="1" x14ac:dyDescent="0.25">
      <c r="A6" s="4" t="s">
        <v>316</v>
      </c>
      <c r="B6" s="4" t="s">
        <v>255</v>
      </c>
      <c r="C6" s="4" t="s">
        <v>81</v>
      </c>
      <c r="D6" s="4" t="s">
        <v>320</v>
      </c>
      <c r="E6" s="4">
        <v>2</v>
      </c>
      <c r="F6" s="4">
        <v>1</v>
      </c>
      <c r="G6" s="4" t="s">
        <v>321</v>
      </c>
      <c r="H6" s="6"/>
    </row>
    <row r="7" spans="1:8" ht="24" customHeight="1" x14ac:dyDescent="0.25">
      <c r="A7" s="4" t="s">
        <v>322</v>
      </c>
      <c r="B7" s="4" t="s">
        <v>262</v>
      </c>
      <c r="C7" s="4" t="s">
        <v>81</v>
      </c>
      <c r="D7" s="4" t="s">
        <v>323</v>
      </c>
      <c r="E7" s="4">
        <v>4</v>
      </c>
      <c r="F7" s="4">
        <v>1</v>
      </c>
      <c r="G7" s="4" t="s">
        <v>324</v>
      </c>
      <c r="H7" s="6"/>
    </row>
    <row r="8" spans="1:8" ht="24" customHeight="1" x14ac:dyDescent="0.25">
      <c r="A8" s="4" t="s">
        <v>325</v>
      </c>
      <c r="B8" s="4" t="s">
        <v>326</v>
      </c>
      <c r="C8" s="4" t="s">
        <v>81</v>
      </c>
      <c r="D8" s="4" t="s">
        <v>327</v>
      </c>
      <c r="E8" s="4">
        <v>3</v>
      </c>
      <c r="F8" s="4">
        <v>1</v>
      </c>
      <c r="G8" s="4" t="s">
        <v>328</v>
      </c>
      <c r="H8" s="6"/>
    </row>
    <row r="9" spans="1:8" ht="24" customHeight="1" x14ac:dyDescent="0.25">
      <c r="A9" s="4"/>
      <c r="B9" s="4"/>
      <c r="C9" s="4"/>
      <c r="D9" s="4"/>
      <c r="E9" s="4"/>
      <c r="F9" s="4"/>
      <c r="G9" s="4"/>
      <c r="H9" s="6"/>
    </row>
    <row r="10" spans="1:8" ht="24" customHeight="1" x14ac:dyDescent="0.25">
      <c r="A10" s="4"/>
      <c r="B10" s="4"/>
      <c r="C10" s="4"/>
      <c r="D10" s="4"/>
      <c r="E10" s="4"/>
      <c r="F10" s="4"/>
      <c r="G10" s="4"/>
      <c r="H10" s="6"/>
    </row>
    <row r="11" spans="1:8" ht="24" customHeight="1" x14ac:dyDescent="0.25">
      <c r="A11" s="4"/>
      <c r="B11" s="4"/>
      <c r="C11" s="4"/>
      <c r="D11" s="4"/>
      <c r="E11" s="4"/>
      <c r="F11" s="4"/>
      <c r="G11" s="4"/>
      <c r="H11" s="6"/>
    </row>
    <row r="12" spans="1:8" ht="24" customHeight="1" x14ac:dyDescent="0.25">
      <c r="A12" s="4"/>
      <c r="B12" s="4"/>
      <c r="C12" s="4"/>
      <c r="D12" s="4"/>
      <c r="E12" s="4"/>
      <c r="F12" s="4"/>
      <c r="G12" s="4"/>
      <c r="H12" s="6"/>
    </row>
    <row r="13" spans="1:8" ht="24" customHeight="1" x14ac:dyDescent="0.25">
      <c r="A13" s="4"/>
      <c r="B13" s="4"/>
      <c r="C13" s="4"/>
      <c r="D13" s="4"/>
      <c r="E13" s="4"/>
      <c r="F13" s="4"/>
      <c r="G13" s="4"/>
      <c r="H13" s="6"/>
    </row>
    <row r="14" spans="1:8" ht="24" customHeight="1" x14ac:dyDescent="0.25">
      <c r="A14" s="4"/>
      <c r="B14" s="4"/>
      <c r="C14" s="4"/>
      <c r="D14" s="4"/>
      <c r="E14" s="4"/>
      <c r="F14" s="4"/>
      <c r="G14" s="4"/>
      <c r="H14" s="6"/>
    </row>
    <row r="15" spans="1:8" ht="24" customHeight="1" x14ac:dyDescent="0.25">
      <c r="A15" s="4"/>
      <c r="B15" s="4"/>
      <c r="C15" s="4"/>
      <c r="D15" s="4"/>
      <c r="E15" s="4"/>
      <c r="F15" s="4"/>
      <c r="G15" s="4"/>
      <c r="H15" s="6"/>
    </row>
    <row r="16" spans="1:8" ht="24" customHeight="1" x14ac:dyDescent="0.25">
      <c r="A16" s="4"/>
      <c r="B16" s="4"/>
      <c r="C16" s="4"/>
      <c r="D16" s="4"/>
      <c r="E16" s="4"/>
      <c r="F16" s="4"/>
      <c r="G16" s="4"/>
      <c r="H16" s="6"/>
    </row>
    <row r="17" spans="1:8" ht="24" customHeight="1" x14ac:dyDescent="0.25">
      <c r="A17" s="4"/>
      <c r="B17" s="4"/>
      <c r="C17" s="4"/>
      <c r="D17" s="4"/>
      <c r="E17" s="4"/>
      <c r="F17" s="4"/>
      <c r="G17" s="4"/>
      <c r="H17" s="6"/>
    </row>
    <row r="18" spans="1:8" ht="24" customHeight="1" x14ac:dyDescent="0.25">
      <c r="A18" s="4"/>
      <c r="B18" s="4"/>
      <c r="C18" s="4"/>
      <c r="D18" s="4"/>
      <c r="E18" s="4"/>
      <c r="F18" s="4"/>
      <c r="G18" s="4"/>
      <c r="H18" s="6"/>
    </row>
    <row r="19" spans="1:8" ht="24" customHeight="1" x14ac:dyDescent="0.25">
      <c r="A19" s="4"/>
      <c r="B19" s="4"/>
      <c r="C19" s="4"/>
      <c r="D19" s="4"/>
      <c r="E19" s="4"/>
      <c r="F19" s="4"/>
      <c r="G19" s="4"/>
      <c r="H19" s="6"/>
    </row>
    <row r="20" spans="1:8" ht="24" customHeight="1" x14ac:dyDescent="0.25">
      <c r="A20" s="4"/>
      <c r="B20" s="4"/>
      <c r="C20" s="4"/>
      <c r="D20" s="4"/>
      <c r="E20" s="4"/>
      <c r="F20" s="4"/>
      <c r="G20" s="4"/>
      <c r="H20" s="6"/>
    </row>
    <row r="21" spans="1:8" ht="24" customHeight="1" x14ac:dyDescent="0.25">
      <c r="A21" s="4"/>
      <c r="B21" s="4"/>
      <c r="C21" s="4"/>
      <c r="D21" s="4"/>
      <c r="E21" s="4"/>
      <c r="F21" s="4"/>
      <c r="G21" s="4"/>
      <c r="H21" s="6"/>
    </row>
    <row r="22" spans="1:8" ht="24" customHeight="1" x14ac:dyDescent="0.25">
      <c r="A22" s="4"/>
      <c r="B22" s="4"/>
      <c r="C22" s="4"/>
      <c r="D22" s="4"/>
      <c r="E22" s="4"/>
      <c r="F22" s="4"/>
      <c r="G22" s="4"/>
      <c r="H22" s="6"/>
    </row>
    <row r="23" spans="1:8" ht="24" customHeight="1" x14ac:dyDescent="0.25">
      <c r="A23" s="4"/>
      <c r="B23" s="4"/>
      <c r="C23" s="4"/>
      <c r="D23" s="4"/>
      <c r="E23" s="4"/>
      <c r="F23" s="4"/>
      <c r="G23" s="4"/>
      <c r="H23" s="6"/>
    </row>
    <row r="24" spans="1:8" ht="24" customHeight="1" x14ac:dyDescent="0.25">
      <c r="A24" s="4"/>
      <c r="B24" s="4"/>
      <c r="C24" s="4"/>
      <c r="D24" s="4"/>
      <c r="E24" s="4"/>
      <c r="F24" s="4"/>
      <c r="G24" s="4"/>
      <c r="H24" s="6"/>
    </row>
    <row r="25" spans="1:8" ht="24" customHeight="1" x14ac:dyDescent="0.25">
      <c r="A25" s="4"/>
      <c r="B25" s="4"/>
      <c r="C25" s="4"/>
      <c r="D25" s="4"/>
      <c r="E25" s="4"/>
      <c r="F25" s="4"/>
      <c r="G25" s="4"/>
      <c r="H25" s="6"/>
    </row>
    <row r="26" spans="1:8" ht="24" customHeight="1" x14ac:dyDescent="0.25">
      <c r="A26" s="4"/>
      <c r="B26" s="4"/>
      <c r="C26" s="4"/>
      <c r="D26" s="4"/>
      <c r="E26" s="4"/>
      <c r="F26" s="4"/>
      <c r="G26" s="4"/>
      <c r="H26" s="6"/>
    </row>
    <row r="27" spans="1:8" ht="24" customHeight="1" x14ac:dyDescent="0.25">
      <c r="A27" s="4"/>
      <c r="B27" s="4"/>
      <c r="C27" s="4"/>
      <c r="D27" s="4"/>
      <c r="E27" s="4"/>
      <c r="F27" s="4"/>
      <c r="G27" s="4"/>
      <c r="H27" s="6"/>
    </row>
    <row r="28" spans="1:8" ht="24" customHeight="1" x14ac:dyDescent="0.25">
      <c r="A28" s="4"/>
      <c r="B28" s="4"/>
      <c r="C28" s="4"/>
      <c r="D28" s="4"/>
      <c r="E28" s="4"/>
      <c r="F28" s="4"/>
      <c r="G28" s="4"/>
      <c r="H28" s="6"/>
    </row>
    <row r="29" spans="1:8" ht="24" customHeight="1" x14ac:dyDescent="0.25">
      <c r="A29" s="4"/>
      <c r="B29" s="4"/>
      <c r="C29" s="4"/>
      <c r="D29" s="4"/>
      <c r="E29" s="4"/>
      <c r="F29" s="4"/>
      <c r="G29" s="4"/>
      <c r="H29" s="6"/>
    </row>
    <row r="30" spans="1:8" ht="24" customHeight="1" x14ac:dyDescent="0.25">
      <c r="A30" s="4"/>
      <c r="B30" s="4"/>
      <c r="C30" s="4"/>
      <c r="D30" s="4"/>
      <c r="E30" s="4"/>
      <c r="F30" s="4"/>
      <c r="G30" s="4"/>
      <c r="H30" s="6"/>
    </row>
    <row r="31" spans="1:8" ht="24" customHeight="1" x14ac:dyDescent="0.25">
      <c r="A31" s="4"/>
      <c r="B31" s="4"/>
      <c r="C31" s="4"/>
      <c r="D31" s="4"/>
      <c r="E31" s="4"/>
      <c r="F31" s="4"/>
      <c r="G31" s="4"/>
      <c r="H31" s="6"/>
    </row>
    <row r="32" spans="1:8" ht="24" customHeight="1" x14ac:dyDescent="0.25">
      <c r="A32" s="4"/>
      <c r="B32" s="4"/>
      <c r="C32" s="4"/>
      <c r="D32" s="4"/>
      <c r="E32" s="4"/>
      <c r="F32" s="4"/>
      <c r="G32" s="4"/>
      <c r="H32" s="6"/>
    </row>
    <row r="33" spans="1:8" ht="24" customHeight="1" x14ac:dyDescent="0.25">
      <c r="A33" s="4"/>
      <c r="B33" s="4"/>
      <c r="C33" s="4"/>
      <c r="D33" s="4"/>
      <c r="E33" s="4"/>
      <c r="F33" s="4"/>
      <c r="G33" s="4"/>
      <c r="H33" s="6"/>
    </row>
    <row r="34" spans="1:8" ht="24" customHeight="1" x14ac:dyDescent="0.25">
      <c r="A34" s="4"/>
      <c r="B34" s="4"/>
      <c r="C34" s="4"/>
      <c r="D34" s="4"/>
      <c r="E34" s="4"/>
      <c r="F34" s="4"/>
      <c r="G34" s="4"/>
      <c r="H34" s="6"/>
    </row>
    <row r="35" spans="1:8" ht="24" customHeight="1" x14ac:dyDescent="0.25">
      <c r="A35" s="4"/>
      <c r="B35" s="4"/>
      <c r="C35" s="4"/>
      <c r="D35" s="4"/>
      <c r="E35" s="4"/>
      <c r="F35" s="4"/>
      <c r="G35" s="4"/>
      <c r="H35" s="6"/>
    </row>
    <row r="36" spans="1:8" ht="24" customHeight="1" x14ac:dyDescent="0.25">
      <c r="A36" s="4"/>
      <c r="B36" s="4"/>
      <c r="C36" s="4"/>
      <c r="D36" s="4"/>
      <c r="E36" s="4"/>
      <c r="F36" s="4"/>
      <c r="G36" s="4"/>
      <c r="H36" s="6"/>
    </row>
    <row r="37" spans="1:8" ht="24" customHeight="1" x14ac:dyDescent="0.25">
      <c r="A37" s="4"/>
      <c r="B37" s="4"/>
      <c r="C37" s="4"/>
      <c r="D37" s="4"/>
      <c r="E37" s="4"/>
      <c r="F37" s="4"/>
      <c r="G37" s="4"/>
      <c r="H37" s="6"/>
    </row>
    <row r="38" spans="1:8" ht="24" customHeight="1" x14ac:dyDescent="0.25">
      <c r="A38" s="4"/>
      <c r="B38" s="4"/>
      <c r="C38" s="4"/>
      <c r="D38" s="4"/>
      <c r="E38" s="4"/>
      <c r="F38" s="4"/>
      <c r="G38" s="4"/>
      <c r="H38" s="6"/>
    </row>
    <row r="39" spans="1:8" ht="24" customHeight="1" x14ac:dyDescent="0.25">
      <c r="A39" s="4"/>
      <c r="B39" s="4"/>
      <c r="C39" s="4"/>
      <c r="D39" s="4"/>
      <c r="E39" s="4"/>
      <c r="F39" s="4"/>
      <c r="G39" s="4"/>
      <c r="H39" s="6"/>
    </row>
    <row r="40" spans="1:8" ht="24" customHeight="1" x14ac:dyDescent="0.25">
      <c r="A40" s="4"/>
      <c r="B40" s="4"/>
      <c r="C40" s="4"/>
      <c r="D40" s="4"/>
      <c r="E40" s="4"/>
      <c r="F40" s="4"/>
      <c r="G40" s="4"/>
      <c r="H40" s="6"/>
    </row>
    <row r="41" spans="1:8" ht="24" customHeight="1" x14ac:dyDescent="0.25">
      <c r="A41" s="4"/>
      <c r="B41" s="4"/>
      <c r="C41" s="4"/>
      <c r="D41" s="4"/>
      <c r="E41" s="4"/>
      <c r="F41" s="4"/>
      <c r="G41" s="4"/>
      <c r="H41" s="6"/>
    </row>
    <row r="42" spans="1:8" ht="24" customHeight="1" x14ac:dyDescent="0.25">
      <c r="A42" s="4"/>
      <c r="B42" s="4"/>
      <c r="C42" s="4"/>
      <c r="D42" s="4"/>
      <c r="E42" s="4"/>
      <c r="F42" s="4"/>
      <c r="G42" s="4"/>
      <c r="H42" s="6"/>
    </row>
    <row r="43" spans="1:8" ht="24" customHeight="1" x14ac:dyDescent="0.25">
      <c r="A43" s="4"/>
      <c r="B43" s="4"/>
      <c r="C43" s="4"/>
      <c r="D43" s="4"/>
      <c r="E43" s="4"/>
      <c r="F43" s="4"/>
      <c r="G43" s="4"/>
      <c r="H43" s="6"/>
    </row>
    <row r="44" spans="1:8" ht="24" customHeight="1" x14ac:dyDescent="0.25">
      <c r="A44" s="4"/>
      <c r="B44" s="4"/>
      <c r="C44" s="4"/>
      <c r="D44" s="4"/>
      <c r="E44" s="4"/>
      <c r="F44" s="4"/>
      <c r="G44" s="4"/>
      <c r="H44" s="6"/>
    </row>
    <row r="45" spans="1:8" ht="24" customHeight="1" x14ac:dyDescent="0.25">
      <c r="A45" s="4"/>
      <c r="B45" s="4"/>
      <c r="C45" s="4"/>
      <c r="D45" s="4"/>
      <c r="E45" s="4"/>
      <c r="F45" s="4"/>
      <c r="G45" s="4"/>
      <c r="H45" s="6"/>
    </row>
    <row r="46" spans="1:8" ht="24" customHeight="1" x14ac:dyDescent="0.25">
      <c r="A46" s="4"/>
      <c r="B46" s="4"/>
      <c r="C46" s="4"/>
      <c r="D46" s="4"/>
      <c r="E46" s="4"/>
      <c r="F46" s="4"/>
      <c r="G46" s="4"/>
      <c r="H46" s="6"/>
    </row>
    <row r="47" spans="1:8" ht="24" customHeight="1" x14ac:dyDescent="0.25">
      <c r="A47" s="4"/>
      <c r="B47" s="4"/>
      <c r="C47" s="4"/>
      <c r="D47" s="4"/>
      <c r="E47" s="4"/>
      <c r="F47" s="4"/>
      <c r="G47" s="4"/>
      <c r="H47" s="6"/>
    </row>
    <row r="48" spans="1:8" ht="24" customHeight="1" x14ac:dyDescent="0.25">
      <c r="A48" s="4"/>
      <c r="B48" s="4"/>
      <c r="C48" s="4"/>
      <c r="D48" s="4"/>
      <c r="E48" s="4"/>
      <c r="F48" s="4"/>
      <c r="G48" s="4"/>
      <c r="H48" s="6"/>
    </row>
    <row r="49" spans="1:8" ht="24" customHeight="1" x14ac:dyDescent="0.25">
      <c r="A49" s="4"/>
      <c r="B49" s="4"/>
      <c r="C49" s="4"/>
      <c r="D49" s="4"/>
      <c r="E49" s="4"/>
      <c r="F49" s="4"/>
      <c r="G49" s="4"/>
      <c r="H49" s="6"/>
    </row>
    <row r="50" spans="1:8" ht="24" customHeight="1" x14ac:dyDescent="0.25">
      <c r="A50" s="4"/>
      <c r="B50" s="4"/>
      <c r="C50" s="4"/>
      <c r="D50" s="4"/>
      <c r="E50" s="4"/>
      <c r="F50" s="4"/>
      <c r="G50" s="4"/>
      <c r="H50" s="6"/>
    </row>
    <row r="51" spans="1:8" ht="24" customHeight="1" x14ac:dyDescent="0.25">
      <c r="A51" s="4"/>
      <c r="B51" s="4"/>
      <c r="C51" s="4"/>
      <c r="D51" s="4"/>
      <c r="E51" s="4"/>
      <c r="F51" s="4"/>
      <c r="G51" s="4"/>
      <c r="H51" s="6"/>
    </row>
    <row r="52" spans="1:8" ht="24" customHeight="1" x14ac:dyDescent="0.25">
      <c r="A52" s="4"/>
      <c r="B52" s="4"/>
      <c r="C52" s="4"/>
      <c r="D52" s="4"/>
      <c r="E52" s="4"/>
      <c r="F52" s="4"/>
      <c r="G52" s="4"/>
      <c r="H52" s="6"/>
    </row>
    <row r="53" spans="1:8" ht="24" customHeight="1" x14ac:dyDescent="0.25">
      <c r="A53" s="4"/>
      <c r="B53" s="4"/>
      <c r="C53" s="4"/>
      <c r="D53" s="4"/>
      <c r="E53" s="4"/>
      <c r="F53" s="4"/>
      <c r="G53" s="4"/>
      <c r="H53" s="6"/>
    </row>
    <row r="54" spans="1:8" ht="24" customHeight="1" x14ac:dyDescent="0.25">
      <c r="A54" s="4"/>
      <c r="B54" s="4"/>
      <c r="C54" s="4"/>
      <c r="D54" s="4"/>
      <c r="E54" s="4"/>
      <c r="F54" s="4"/>
      <c r="G54" s="4"/>
      <c r="H54" s="6"/>
    </row>
    <row r="55" spans="1:8" ht="24" customHeight="1" x14ac:dyDescent="0.25">
      <c r="A55" s="4"/>
      <c r="B55" s="4"/>
      <c r="C55" s="4"/>
      <c r="D55" s="4"/>
      <c r="E55" s="4"/>
      <c r="F55" s="4"/>
      <c r="G55" s="4"/>
      <c r="H55" s="6"/>
    </row>
    <row r="56" spans="1:8" ht="24" customHeight="1" x14ac:dyDescent="0.25">
      <c r="A56" s="4"/>
      <c r="B56" s="4"/>
      <c r="C56" s="4"/>
      <c r="D56" s="4"/>
      <c r="E56" s="4"/>
      <c r="F56" s="4"/>
      <c r="G56" s="4"/>
      <c r="H56" s="6"/>
    </row>
    <row r="57" spans="1:8" ht="24" customHeight="1" x14ac:dyDescent="0.25">
      <c r="A57" s="4"/>
      <c r="B57" s="4"/>
      <c r="C57" s="4"/>
      <c r="D57" s="4"/>
      <c r="E57" s="4"/>
      <c r="F57" s="4"/>
      <c r="G57" s="4"/>
      <c r="H57" s="6"/>
    </row>
    <row r="58" spans="1:8" ht="24" customHeight="1" x14ac:dyDescent="0.25">
      <c r="A58" s="4"/>
      <c r="B58" s="4"/>
      <c r="C58" s="4"/>
      <c r="D58" s="4"/>
      <c r="E58" s="4"/>
      <c r="F58" s="4"/>
      <c r="G58" s="4"/>
      <c r="H58" s="6"/>
    </row>
    <row r="59" spans="1:8" ht="24" customHeight="1" x14ac:dyDescent="0.25">
      <c r="A59" s="4"/>
      <c r="B59" s="4"/>
      <c r="C59" s="4"/>
      <c r="D59" s="4"/>
      <c r="E59" s="4"/>
      <c r="F59" s="4"/>
      <c r="G59" s="4"/>
      <c r="H59" s="6"/>
    </row>
    <row r="60" spans="1:8" ht="24" customHeight="1" x14ac:dyDescent="0.25">
      <c r="A60" s="4"/>
      <c r="B60" s="4"/>
      <c r="C60" s="4"/>
      <c r="D60" s="4"/>
      <c r="E60" s="4"/>
      <c r="F60" s="4"/>
      <c r="G60" s="4"/>
      <c r="H60" s="6"/>
    </row>
    <row r="61" spans="1:8" ht="24" customHeight="1" x14ac:dyDescent="0.25">
      <c r="A61" s="4"/>
      <c r="B61" s="4"/>
      <c r="C61" s="4"/>
      <c r="D61" s="4"/>
      <c r="E61" s="4"/>
      <c r="F61" s="4"/>
      <c r="G61" s="4"/>
      <c r="H61" s="6"/>
    </row>
    <row r="62" spans="1:8" ht="24" customHeight="1" x14ac:dyDescent="0.25">
      <c r="A62" s="4"/>
      <c r="B62" s="4"/>
      <c r="C62" s="4"/>
      <c r="D62" s="4"/>
      <c r="E62" s="4"/>
      <c r="F62" s="4"/>
      <c r="G62" s="4"/>
      <c r="H62" s="6"/>
    </row>
    <row r="63" spans="1:8" ht="24" customHeight="1" x14ac:dyDescent="0.25">
      <c r="A63" s="4"/>
      <c r="B63" s="4"/>
      <c r="C63" s="4"/>
      <c r="D63" s="4"/>
      <c r="E63" s="4"/>
      <c r="F63" s="4"/>
      <c r="G63" s="4"/>
      <c r="H63" s="6"/>
    </row>
    <row r="64" spans="1:8" ht="24" customHeight="1" x14ac:dyDescent="0.25">
      <c r="A64" s="4"/>
      <c r="B64" s="4"/>
      <c r="C64" s="4"/>
      <c r="D64" s="4"/>
      <c r="E64" s="4"/>
      <c r="F64" s="4"/>
      <c r="G64" s="4"/>
      <c r="H64" s="6"/>
    </row>
  </sheetData>
  <pageMargins left="0.75" right="0.75" top="1" bottom="1" header="0.511811023622047" footer="0.511811023622047"/>
  <pageSetup fitToHeight="0"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14"/>
  <sheetViews>
    <sheetView showGridLines="0" zoomScaleNormal="100" workbookViewId="0">
      <pane xSplit="1" ySplit="4" topLeftCell="B5" activePane="bottomRight" state="frozen"/>
      <selection pane="topRight" activeCell="B1" sqref="B1"/>
      <selection pane="bottomLeft" activeCell="A5" sqref="A5"/>
      <selection pane="bottomRight"/>
    </sheetView>
  </sheetViews>
  <sheetFormatPr defaultColWidth="8.7109375" defaultRowHeight="15" x14ac:dyDescent="0.25"/>
  <cols>
    <col min="1" max="1" width="14" customWidth="1"/>
    <col min="2" max="3" width="40" customWidth="1"/>
    <col min="4" max="5" width="30" customWidth="1"/>
    <col min="6" max="6" width="16" customWidth="1"/>
    <col min="7" max="7" width="36" customWidth="1"/>
    <col min="8" max="8" width="16" customWidth="1"/>
  </cols>
  <sheetData>
    <row r="1" spans="1:8" ht="19.5" customHeight="1" x14ac:dyDescent="0.3">
      <c r="A1" s="1" t="s">
        <v>329</v>
      </c>
    </row>
    <row r="2" spans="1:8" x14ac:dyDescent="0.25">
      <c r="A2" s="2" t="s">
        <v>330</v>
      </c>
    </row>
    <row r="4" spans="1:8" ht="39.75" customHeight="1" x14ac:dyDescent="0.25">
      <c r="A4" s="7" t="s">
        <v>331</v>
      </c>
      <c r="B4" s="11" t="s">
        <v>332</v>
      </c>
      <c r="C4" s="11" t="s">
        <v>333</v>
      </c>
      <c r="D4" s="11" t="s">
        <v>334</v>
      </c>
      <c r="E4" s="11" t="s">
        <v>335</v>
      </c>
      <c r="F4" s="11" t="s">
        <v>336</v>
      </c>
      <c r="G4" s="15" t="s">
        <v>337</v>
      </c>
      <c r="H4" s="15" t="s">
        <v>331</v>
      </c>
    </row>
    <row r="5" spans="1:8" ht="60" customHeight="1" x14ac:dyDescent="0.25">
      <c r="A5" s="9" t="s">
        <v>24</v>
      </c>
      <c r="B5" s="4" t="s">
        <v>338</v>
      </c>
      <c r="C5" s="4"/>
      <c r="D5" s="4"/>
      <c r="E5" s="4"/>
      <c r="F5" s="4"/>
      <c r="G5" s="6"/>
      <c r="H5" s="21"/>
    </row>
    <row r="6" spans="1:8" ht="60" customHeight="1" x14ac:dyDescent="0.25">
      <c r="A6" s="9" t="s">
        <v>339</v>
      </c>
      <c r="B6" s="4" t="s">
        <v>340</v>
      </c>
      <c r="C6" s="4"/>
      <c r="D6" s="4"/>
      <c r="E6" s="4"/>
      <c r="F6" s="4"/>
      <c r="G6" s="6"/>
      <c r="H6" s="21"/>
    </row>
    <row r="7" spans="1:8" ht="60" customHeight="1" x14ac:dyDescent="0.25">
      <c r="A7" s="9" t="s">
        <v>341</v>
      </c>
      <c r="B7" s="4" t="s">
        <v>342</v>
      </c>
      <c r="C7" s="4"/>
      <c r="D7" s="4"/>
      <c r="E7" s="4"/>
      <c r="F7" s="4"/>
      <c r="G7" s="6"/>
      <c r="H7" s="21"/>
    </row>
    <row r="8" spans="1:8" ht="60" customHeight="1" x14ac:dyDescent="0.25">
      <c r="A8" s="9" t="s">
        <v>316</v>
      </c>
      <c r="B8" s="4" t="s">
        <v>343</v>
      </c>
      <c r="C8" s="4" t="s">
        <v>344</v>
      </c>
      <c r="D8" s="4" t="s">
        <v>345</v>
      </c>
      <c r="E8" s="4" t="s">
        <v>346</v>
      </c>
      <c r="F8" s="4" t="s">
        <v>188</v>
      </c>
      <c r="G8" s="6"/>
      <c r="H8" s="21" t="s">
        <v>347</v>
      </c>
    </row>
    <row r="9" spans="1:8" ht="60" customHeight="1" x14ac:dyDescent="0.25">
      <c r="A9" s="9" t="s">
        <v>322</v>
      </c>
      <c r="B9" s="4" t="s">
        <v>348</v>
      </c>
      <c r="C9" s="4" t="s">
        <v>349</v>
      </c>
      <c r="D9" s="4" t="s">
        <v>350</v>
      </c>
      <c r="E9" s="4"/>
      <c r="F9" s="4" t="s">
        <v>188</v>
      </c>
      <c r="G9" s="6"/>
      <c r="H9" s="21" t="s">
        <v>347</v>
      </c>
    </row>
    <row r="10" spans="1:8" ht="60" customHeight="1" x14ac:dyDescent="0.25">
      <c r="A10" s="9" t="s">
        <v>325</v>
      </c>
      <c r="B10" s="4" t="s">
        <v>351</v>
      </c>
      <c r="C10" s="4"/>
      <c r="D10" s="4"/>
      <c r="E10" s="4"/>
      <c r="F10" s="4"/>
      <c r="G10" s="6"/>
      <c r="H10" s="21"/>
    </row>
    <row r="12" spans="1:8" ht="25.5" customHeight="1" x14ac:dyDescent="0.25">
      <c r="A12" s="9" t="s">
        <v>352</v>
      </c>
      <c r="B12" s="10" t="str">
        <f>COUNTIF(H5:H10,"Met")&amp;" of 6"</f>
        <v>2 of 6</v>
      </c>
    </row>
    <row r="14" spans="1:8" x14ac:dyDescent="0.25">
      <c r="A14" s="14" t="s">
        <v>353</v>
      </c>
    </row>
  </sheetData>
  <dataValidations count="2">
    <dataValidation type="list" allowBlank="1" sqref="F5:F10" xr:uid="{00000000-0002-0000-0900-000000000000}">
      <formula1>"On track,Behind,Done"</formula1>
      <formula2>0</formula2>
    </dataValidation>
    <dataValidation type="list" allowBlank="1" sqref="H5:H10" xr:uid="{00000000-0002-0000-0900-000001000000}">
      <formula1>"Met,Partly met,Not met"</formula1>
      <formula2>0</formula2>
    </dataValidation>
  </dataValidations>
  <pageMargins left="0.75" right="0.75" top="1" bottom="1" header="0.511811023622047" footer="0.511811023622047"/>
  <pageSetup fitToHeight="0" orientation="landscape"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I17"/>
  <sheetViews>
    <sheetView showGridLines="0" zoomScaleNormal="100" workbookViewId="0">
      <pane xSplit="2" ySplit="4" topLeftCell="C5" activePane="bottomRight" state="frozen"/>
      <selection pane="topRight" activeCell="C1" sqref="C1"/>
      <selection pane="bottomLeft" activeCell="A5" sqref="A5"/>
      <selection pane="bottomRight"/>
    </sheetView>
  </sheetViews>
  <sheetFormatPr defaultColWidth="8.7109375" defaultRowHeight="15" x14ac:dyDescent="0.25"/>
  <cols>
    <col min="1" max="1" width="8" customWidth="1"/>
    <col min="2" max="2" width="34" customWidth="1"/>
    <col min="3" max="3" width="9" customWidth="1"/>
    <col min="4" max="4" width="58" customWidth="1"/>
    <col min="5" max="6" width="13" customWidth="1"/>
    <col min="7" max="7" width="12" customWidth="1"/>
    <col min="8" max="9" width="40" customWidth="1"/>
  </cols>
  <sheetData>
    <row r="1" spans="1:9" ht="19.5" customHeight="1" x14ac:dyDescent="0.3">
      <c r="A1" s="1" t="s">
        <v>354</v>
      </c>
    </row>
    <row r="2" spans="1:9" x14ac:dyDescent="0.25">
      <c r="A2" s="2" t="s">
        <v>355</v>
      </c>
    </row>
    <row r="4" spans="1:9" ht="36" customHeight="1" x14ac:dyDescent="0.25">
      <c r="A4" s="7" t="s">
        <v>248</v>
      </c>
      <c r="B4" s="7" t="s">
        <v>165</v>
      </c>
      <c r="C4" s="7" t="s">
        <v>356</v>
      </c>
      <c r="D4" s="7" t="s">
        <v>357</v>
      </c>
      <c r="E4" s="11" t="s">
        <v>358</v>
      </c>
      <c r="F4" s="15" t="s">
        <v>359</v>
      </c>
      <c r="G4" s="7" t="s">
        <v>360</v>
      </c>
      <c r="H4" s="11" t="s">
        <v>361</v>
      </c>
      <c r="I4" s="15" t="s">
        <v>362</v>
      </c>
    </row>
    <row r="5" spans="1:9" ht="57.75" customHeight="1" x14ac:dyDescent="0.25">
      <c r="A5" s="18" t="s">
        <v>171</v>
      </c>
      <c r="B5" s="8" t="s">
        <v>172</v>
      </c>
      <c r="C5" s="10">
        <v>5</v>
      </c>
      <c r="D5" s="5" t="s">
        <v>363</v>
      </c>
      <c r="E5" s="23"/>
      <c r="F5" s="24"/>
      <c r="G5" s="25" t="str">
        <f t="shared" ref="G5:G14" si="0">IF(AND(ISNUMBER(E5),ISNUMBER(F5)),E5-F5,"")</f>
        <v/>
      </c>
      <c r="H5" s="4"/>
      <c r="I5" s="6"/>
    </row>
    <row r="6" spans="1:9" ht="57.75" customHeight="1" x14ac:dyDescent="0.25">
      <c r="A6" s="18" t="s">
        <v>173</v>
      </c>
      <c r="B6" s="8" t="s">
        <v>174</v>
      </c>
      <c r="C6" s="10">
        <v>15</v>
      </c>
      <c r="D6" s="5" t="s">
        <v>364</v>
      </c>
      <c r="E6" s="23"/>
      <c r="F6" s="24"/>
      <c r="G6" s="25" t="str">
        <f t="shared" si="0"/>
        <v/>
      </c>
      <c r="H6" s="4"/>
      <c r="I6" s="6"/>
    </row>
    <row r="7" spans="1:9" ht="57.75" customHeight="1" x14ac:dyDescent="0.25">
      <c r="A7" s="18" t="s">
        <v>175</v>
      </c>
      <c r="B7" s="8" t="s">
        <v>365</v>
      </c>
      <c r="C7" s="10">
        <v>10</v>
      </c>
      <c r="D7" s="5" t="s">
        <v>366</v>
      </c>
      <c r="E7" s="23"/>
      <c r="F7" s="24"/>
      <c r="G7" s="25" t="str">
        <f t="shared" si="0"/>
        <v/>
      </c>
      <c r="H7" s="4"/>
      <c r="I7" s="6"/>
    </row>
    <row r="8" spans="1:9" ht="57.75" customHeight="1" x14ac:dyDescent="0.25">
      <c r="A8" s="18" t="s">
        <v>178</v>
      </c>
      <c r="B8" s="8" t="s">
        <v>367</v>
      </c>
      <c r="C8" s="10">
        <v>10</v>
      </c>
      <c r="D8" s="5" t="s">
        <v>368</v>
      </c>
      <c r="E8" s="23"/>
      <c r="F8" s="24"/>
      <c r="G8" s="25" t="str">
        <f t="shared" si="0"/>
        <v/>
      </c>
      <c r="H8" s="4"/>
      <c r="I8" s="6"/>
    </row>
    <row r="9" spans="1:9" ht="57.75" customHeight="1" x14ac:dyDescent="0.25">
      <c r="A9" s="18" t="s">
        <v>181</v>
      </c>
      <c r="B9" s="8" t="s">
        <v>369</v>
      </c>
      <c r="C9" s="10">
        <v>15</v>
      </c>
      <c r="D9" s="5" t="s">
        <v>370</v>
      </c>
      <c r="E9" s="23"/>
      <c r="F9" s="24"/>
      <c r="G9" s="25" t="str">
        <f t="shared" si="0"/>
        <v/>
      </c>
      <c r="H9" s="4"/>
      <c r="I9" s="6"/>
    </row>
    <row r="10" spans="1:9" ht="57.75" customHeight="1" x14ac:dyDescent="0.25">
      <c r="A10" s="18" t="s">
        <v>185</v>
      </c>
      <c r="B10" s="8" t="s">
        <v>371</v>
      </c>
      <c r="C10" s="10">
        <v>5</v>
      </c>
      <c r="D10" s="5" t="s">
        <v>372</v>
      </c>
      <c r="E10" s="23">
        <v>5</v>
      </c>
      <c r="F10" s="24"/>
      <c r="G10" s="25" t="str">
        <f t="shared" si="0"/>
        <v/>
      </c>
      <c r="H10" s="4" t="s">
        <v>373</v>
      </c>
      <c r="I10" s="6"/>
    </row>
    <row r="11" spans="1:9" ht="57.75" customHeight="1" x14ac:dyDescent="0.25">
      <c r="A11" s="18" t="s">
        <v>189</v>
      </c>
      <c r="B11" s="8" t="s">
        <v>374</v>
      </c>
      <c r="C11" s="10">
        <v>10</v>
      </c>
      <c r="D11" s="5" t="s">
        <v>375</v>
      </c>
      <c r="E11" s="23">
        <v>10</v>
      </c>
      <c r="F11" s="24"/>
      <c r="G11" s="25" t="str">
        <f t="shared" si="0"/>
        <v/>
      </c>
      <c r="H11" s="4" t="s">
        <v>376</v>
      </c>
      <c r="I11" s="6"/>
    </row>
    <row r="12" spans="1:9" ht="57.75" customHeight="1" x14ac:dyDescent="0.25">
      <c r="A12" s="18" t="s">
        <v>193</v>
      </c>
      <c r="B12" s="8" t="s">
        <v>377</v>
      </c>
      <c r="C12" s="10">
        <v>10</v>
      </c>
      <c r="D12" s="5" t="s">
        <v>378</v>
      </c>
      <c r="E12" s="23"/>
      <c r="F12" s="24"/>
      <c r="G12" s="25" t="str">
        <f t="shared" si="0"/>
        <v/>
      </c>
      <c r="H12" s="4"/>
      <c r="I12" s="6"/>
    </row>
    <row r="13" spans="1:9" ht="57.75" customHeight="1" x14ac:dyDescent="0.25">
      <c r="A13" s="18" t="s">
        <v>197</v>
      </c>
      <c r="B13" s="8" t="s">
        <v>379</v>
      </c>
      <c r="C13" s="10">
        <v>10</v>
      </c>
      <c r="D13" s="5" t="s">
        <v>380</v>
      </c>
      <c r="E13" s="23"/>
      <c r="F13" s="24"/>
      <c r="G13" s="25" t="str">
        <f t="shared" si="0"/>
        <v/>
      </c>
      <c r="H13" s="4"/>
      <c r="I13" s="6"/>
    </row>
    <row r="14" spans="1:9" ht="57.75" customHeight="1" x14ac:dyDescent="0.25">
      <c r="A14" s="18" t="s">
        <v>200</v>
      </c>
      <c r="B14" s="8" t="s">
        <v>381</v>
      </c>
      <c r="C14" s="10">
        <v>10</v>
      </c>
      <c r="D14" s="5" t="s">
        <v>382</v>
      </c>
      <c r="E14" s="23">
        <v>10</v>
      </c>
      <c r="F14" s="24"/>
      <c r="G14" s="25" t="str">
        <f t="shared" si="0"/>
        <v/>
      </c>
      <c r="H14" s="4" t="s">
        <v>383</v>
      </c>
      <c r="I14" s="6"/>
    </row>
    <row r="15" spans="1:9" x14ac:dyDescent="0.25">
      <c r="A15" s="26"/>
      <c r="B15" s="9" t="s">
        <v>384</v>
      </c>
      <c r="C15" s="16">
        <f>SUM(C5:C14)</f>
        <v>100</v>
      </c>
      <c r="D15" s="26"/>
      <c r="E15" s="27">
        <f>SUM(E5:E14)</f>
        <v>25</v>
      </c>
      <c r="F15" s="27">
        <f>SUM(F5:F14)</f>
        <v>0</v>
      </c>
      <c r="G15" s="28">
        <f>E15-F15</f>
        <v>25</v>
      </c>
      <c r="H15" s="26"/>
      <c r="I15" s="26"/>
    </row>
    <row r="17" spans="1:1" x14ac:dyDescent="0.25">
      <c r="A17" s="14" t="s">
        <v>385</v>
      </c>
    </row>
  </sheetData>
  <conditionalFormatting sqref="G5:G14">
    <cfRule type="expression" dxfId="0" priority="2">
      <formula>AND(ISNUMBER(G5),ABS(G5)&gt;0.2*$C5)</formula>
    </cfRule>
  </conditionalFormatting>
  <dataValidations count="1">
    <dataValidation type="decimal" allowBlank="1" showErrorMessage="1" errorTitle="Mark out of range" error="Enter a number from 0 up to the task's Max (column C)." sqref="E5:F14" xr:uid="{00000000-0002-0000-0A00-000000000000}">
      <formula1>0</formula1>
      <formula2>$C5</formula2>
    </dataValidation>
  </dataValidations>
  <pageMargins left="0.75" right="0.75" top="1" bottom="1" header="0.511811023622047" footer="0.511811023622047"/>
  <pageSetup fitToHeight="0" orientation="landscape"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G26"/>
  <sheetViews>
    <sheetView showGridLines="0" tabSelected="1" zoomScaleNormal="100" workbookViewId="0">
      <selection activeCell="J19" sqref="J19"/>
    </sheetView>
  </sheetViews>
  <sheetFormatPr defaultColWidth="8.7109375" defaultRowHeight="15" x14ac:dyDescent="0.25"/>
  <cols>
    <col min="1" max="1" width="28" customWidth="1"/>
    <col min="2" max="2" width="26" customWidth="1"/>
    <col min="3" max="3" width="16" customWidth="1"/>
    <col min="4" max="4" width="18" customWidth="1"/>
    <col min="5" max="7" width="22" customWidth="1"/>
  </cols>
  <sheetData>
    <row r="1" spans="1:6" ht="19.5" customHeight="1" x14ac:dyDescent="0.3">
      <c r="A1" s="1" t="s">
        <v>386</v>
      </c>
    </row>
    <row r="2" spans="1:6" x14ac:dyDescent="0.25">
      <c r="A2" s="2" t="s">
        <v>387</v>
      </c>
    </row>
    <row r="4" spans="1:6" x14ac:dyDescent="0.25">
      <c r="A4" s="9" t="s">
        <v>63</v>
      </c>
      <c r="B4" s="40" t="str">
        <f>IF(Team!B4="","",Team!B4)</f>
        <v/>
      </c>
      <c r="C4" s="37"/>
    </row>
    <row r="5" spans="1:6" ht="25.5" customHeight="1" x14ac:dyDescent="0.25">
      <c r="A5" s="9" t="s">
        <v>388</v>
      </c>
      <c r="B5" s="29">
        <v>0.2</v>
      </c>
    </row>
    <row r="6" spans="1:6" x14ac:dyDescent="0.25">
      <c r="A6" s="9" t="s">
        <v>389</v>
      </c>
      <c r="B6" s="6"/>
      <c r="C6" s="6"/>
    </row>
    <row r="8" spans="1:6" ht="15.75" customHeight="1" x14ac:dyDescent="0.25">
      <c r="A8" s="3" t="s">
        <v>390</v>
      </c>
    </row>
    <row r="9" spans="1:6" x14ac:dyDescent="0.25">
      <c r="A9" s="7" t="s">
        <v>391</v>
      </c>
      <c r="B9" s="11" t="s">
        <v>392</v>
      </c>
      <c r="C9" s="15" t="s">
        <v>221</v>
      </c>
      <c r="D9" s="7" t="s">
        <v>393</v>
      </c>
    </row>
    <row r="10" spans="1:6" x14ac:dyDescent="0.25">
      <c r="A10" s="8" t="s">
        <v>384</v>
      </c>
      <c r="B10" s="30">
        <f>Marking!E15</f>
        <v>25</v>
      </c>
      <c r="C10" s="30">
        <f>Marking!F15</f>
        <v>0</v>
      </c>
      <c r="D10" s="25">
        <f>B10-C10</f>
        <v>25</v>
      </c>
    </row>
    <row r="11" spans="1:6" x14ac:dyDescent="0.25">
      <c r="A11" s="8" t="s">
        <v>394</v>
      </c>
      <c r="B11" s="30">
        <f>B10*$B$5</f>
        <v>5</v>
      </c>
      <c r="C11" s="30">
        <f>C10*$B$5</f>
        <v>0</v>
      </c>
      <c r="D11" s="25">
        <f>B11-C11</f>
        <v>5</v>
      </c>
    </row>
    <row r="12" spans="1:6" ht="31.5" customHeight="1" x14ac:dyDescent="0.25">
      <c r="A12" s="8" t="s">
        <v>395</v>
      </c>
      <c r="B12" s="10"/>
      <c r="C12" s="21"/>
    </row>
    <row r="14" spans="1:6" ht="15.75" customHeight="1" x14ac:dyDescent="0.25">
      <c r="A14" s="3" t="s">
        <v>396</v>
      </c>
    </row>
    <row r="15" spans="1:6" ht="51.75" customHeight="1" x14ac:dyDescent="0.25">
      <c r="A15" s="7" t="s">
        <v>68</v>
      </c>
      <c r="B15" s="7" t="s">
        <v>70</v>
      </c>
      <c r="C15" s="7" t="s">
        <v>72</v>
      </c>
      <c r="D15" s="15" t="s">
        <v>397</v>
      </c>
      <c r="E15" s="7" t="s">
        <v>398</v>
      </c>
      <c r="F15" s="7" t="s">
        <v>399</v>
      </c>
    </row>
    <row r="16" spans="1:6" x14ac:dyDescent="0.25">
      <c r="A16" s="9" t="str">
        <f>IF(Team!B11="","",Team!B11)</f>
        <v/>
      </c>
      <c r="B16" s="10" t="str">
        <f>IF(Team!C11="","",Team!C11)</f>
        <v/>
      </c>
      <c r="C16" s="19" t="str">
        <f>IF(Team!C11="","",Team!E11)</f>
        <v/>
      </c>
      <c r="D16" s="31"/>
      <c r="E16" s="32" t="str">
        <f>IF($B16="","",ROUND($C$10*IF($D16="",1,$D16),2))</f>
        <v/>
      </c>
      <c r="F16" s="33" t="str">
        <f>IF($B16="","",ROUND(E16*$B$5,2))</f>
        <v/>
      </c>
    </row>
    <row r="17" spans="1:7" x14ac:dyDescent="0.25">
      <c r="A17" s="9" t="str">
        <f>IF(Team!B12="","",Team!B12)</f>
        <v/>
      </c>
      <c r="B17" s="10" t="str">
        <f>IF(Team!C12="","",Team!C12)</f>
        <v/>
      </c>
      <c r="C17" s="19" t="str">
        <f>IF(Team!C12="","",Team!E12)</f>
        <v/>
      </c>
      <c r="D17" s="31"/>
      <c r="E17" s="32" t="str">
        <f>IF($B17="","",ROUND($C$10*IF($D17="",1,$D17),2))</f>
        <v/>
      </c>
      <c r="F17" s="33" t="str">
        <f>IF($B17="","",ROUND(E17*$B$5,2))</f>
        <v/>
      </c>
    </row>
    <row r="18" spans="1:7" x14ac:dyDescent="0.25">
      <c r="A18" s="9" t="str">
        <f>IF(Team!B13="","",Team!B13)</f>
        <v/>
      </c>
      <c r="B18" s="10" t="str">
        <f>IF(Team!C13="","",Team!C13)</f>
        <v/>
      </c>
      <c r="C18" s="19" t="str">
        <f>IF(Team!C13="","",Team!E13)</f>
        <v/>
      </c>
      <c r="D18" s="31"/>
      <c r="E18" s="32" t="str">
        <f>IF($B18="","",ROUND($C$10*IF($D18="",1,$D18),2))</f>
        <v/>
      </c>
      <c r="F18" s="33" t="str">
        <f>IF($B18="","",ROUND(E18*$B$5,2))</f>
        <v/>
      </c>
    </row>
    <row r="19" spans="1:7" x14ac:dyDescent="0.25">
      <c r="A19" s="9" t="str">
        <f>IF(Team!B14="","",Team!B14)</f>
        <v/>
      </c>
      <c r="B19" s="10" t="str">
        <f>IF(Team!C14="","",Team!C14)</f>
        <v/>
      </c>
      <c r="C19" s="19" t="str">
        <f>IF(Team!C14="","",Team!E14)</f>
        <v/>
      </c>
      <c r="D19" s="31"/>
      <c r="E19" s="32" t="str">
        <f>IF($B19="","",ROUND($C$10*IF($D19="",1,$D19),2))</f>
        <v/>
      </c>
      <c r="F19" s="33" t="str">
        <f>IF($B19="","",ROUND(E19*$B$5,2))</f>
        <v/>
      </c>
    </row>
    <row r="20" spans="1:7" x14ac:dyDescent="0.25">
      <c r="A20" s="9" t="str">
        <f>IF(Team!B15="","",Team!B15)</f>
        <v>[Student Name 5]</v>
      </c>
      <c r="B20" s="10" t="str">
        <f>IF(Team!C15="","",Team!C15)</f>
        <v>524H0199</v>
      </c>
      <c r="C20" s="19">
        <f>IF(Team!C15="","",Team!E15)</f>
        <v>0.2</v>
      </c>
      <c r="D20" s="31"/>
      <c r="E20" s="32">
        <f>IF($B20="","",ROUND($C$10*IF($D20="",1,$D20),2))</f>
        <v>0</v>
      </c>
      <c r="F20" s="33">
        <f>IF($B20="","",ROUND(E20*$B$5,2))</f>
        <v>0</v>
      </c>
    </row>
    <row r="22" spans="1:7" x14ac:dyDescent="0.25">
      <c r="A22" s="14" t="s">
        <v>400</v>
      </c>
    </row>
    <row r="24" spans="1:7" ht="15.75" customHeight="1" x14ac:dyDescent="0.25">
      <c r="A24" s="3" t="s">
        <v>401</v>
      </c>
    </row>
    <row r="25" spans="1:7" ht="60" customHeight="1" x14ac:dyDescent="0.25">
      <c r="A25" s="9" t="s">
        <v>402</v>
      </c>
      <c r="B25" s="36"/>
      <c r="C25" s="39"/>
      <c r="D25" s="39"/>
      <c r="E25" s="39"/>
      <c r="F25" s="39"/>
      <c r="G25" s="37"/>
    </row>
    <row r="26" spans="1:7" ht="60" customHeight="1" x14ac:dyDescent="0.25">
      <c r="A26" s="9" t="s">
        <v>337</v>
      </c>
      <c r="B26" s="41"/>
      <c r="C26" s="39"/>
      <c r="D26" s="39"/>
      <c r="E26" s="39"/>
      <c r="F26" s="39"/>
      <c r="G26" s="37"/>
    </row>
  </sheetData>
  <mergeCells count="3">
    <mergeCell ref="B4:C4"/>
    <mergeCell ref="B25:G25"/>
    <mergeCell ref="B26:G26"/>
  </mergeCells>
  <dataValidations count="2">
    <dataValidation type="whole" allowBlank="1" showErrorMessage="1" error="Enter 0 or 1." sqref="C12" xr:uid="{00000000-0002-0000-0B00-000000000000}">
      <formula1>0</formula1>
      <formula2>1</formula2>
    </dataValidation>
    <dataValidation type="decimal" allowBlank="1" showErrorMessage="1" error="Factor must be between 0.70 and 1.00." sqref="D16:D20" xr:uid="{00000000-0002-0000-0B00-000001000000}">
      <formula1>0.7</formula1>
      <formula2>1</formula2>
    </dataValidation>
  </dataValidations>
  <pageMargins left="0.75" right="0.75" top="1" bottom="1"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12</vt:i4>
      </vt:variant>
    </vt:vector>
  </HeadingPairs>
  <TitlesOfParts>
    <vt:vector size="12" baseType="lpstr">
      <vt:lpstr>Instructions</vt:lpstr>
      <vt:lpstr>Team</vt:lpstr>
      <vt:lpstr>Clarification Q&amp;A</vt:lpstr>
      <vt:lpstr>Requirements</vt:lpstr>
      <vt:lpstr>Use Cases</vt:lpstr>
      <vt:lpstr>Artifact Tracker</vt:lpstr>
      <vt:lpstr>Consistency Check</vt:lpstr>
      <vt:lpstr>AI Prompt Log</vt:lpstr>
      <vt:lpstr>Commit Log</vt:lpstr>
      <vt:lpstr>Progress Log</vt:lpstr>
      <vt:lpstr>Marking</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Ky-Trung Pham</dc:creator>
  <cp:lastModifiedBy>trihoangle17@gmail.com</cp:lastModifiedBy>
  <cp:revision>0</cp:revision>
  <dcterms:created xsi:type="dcterms:W3CDTF">2026-10-20T16:27:08Z</dcterms:created>
  <dcterms:modified xsi:type="dcterms:W3CDTF">2026-10-30T12:58:36Z</dcterms:modified>
  <dc:language>en-US</dc:language>
</cp:coreProperties>
</file>