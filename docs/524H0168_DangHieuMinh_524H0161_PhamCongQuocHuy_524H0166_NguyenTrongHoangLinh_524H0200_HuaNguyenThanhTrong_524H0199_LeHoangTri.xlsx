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Documents 2026 - 2027\Sorfware Engineer\Assignment\"/>
    </mc:Choice>
  </mc:AlternateContent>
  <xr:revisionPtr revIDLastSave="0" documentId="13_ncr:1_{2FC00B24-F23C-434C-AE75-39ADAD5D9019}" xr6:coauthVersionLast="47" xr6:coauthVersionMax="47" xr10:uidLastSave="{00000000-0000-0000-0000-000000000000}"/>
  <bookViews>
    <workbookView xWindow="-120" yWindow="-120" windowWidth="29040" windowHeight="15720" tabRatio="746" activeTab="1" xr2:uid="{00000000-000D-0000-FFFF-FFFF00000000}"/>
  </bookViews>
  <sheets>
    <sheet name="Instructions" sheetId="1" r:id="rId1"/>
    <sheet name="Team" sheetId="2" r:id="rId2"/>
    <sheet name="Clarification Q&amp;A" sheetId="3" r:id="rId3"/>
    <sheet name="Requirements" sheetId="4" r:id="rId4"/>
    <sheet name="Use Cases" sheetId="5" r:id="rId5"/>
    <sheet name="Artifact Tracker" sheetId="6" r:id="rId6"/>
    <sheet name="Consistency Check" sheetId="7" r:id="rId7"/>
    <sheet name="AI Prompt Log" sheetId="8" r:id="rId8"/>
    <sheet name="Commit Log" sheetId="9" r:id="rId9"/>
    <sheet name="Progress Log" sheetId="10" r:id="rId10"/>
    <sheet name="Marking" sheetId="11" r:id="rId11"/>
    <sheet name="Summary" sheetId="12" r:id="rId12"/>
  </sheets>
  <calcPr calcId="191029" iterateDelta="1E-4"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0" i="12" l="1"/>
  <c r="B20" i="12"/>
  <c r="A20" i="12"/>
  <c r="C19" i="12"/>
  <c r="B19" i="12"/>
  <c r="A19" i="12"/>
  <c r="C18" i="12"/>
  <c r="B18" i="12"/>
  <c r="A18" i="12"/>
  <c r="C17" i="12"/>
  <c r="B17" i="12"/>
  <c r="A17" i="12"/>
  <c r="C16" i="12"/>
  <c r="B16" i="12"/>
  <c r="A16" i="12"/>
  <c r="B4" i="12"/>
  <c r="F15" i="11"/>
  <c r="C10" i="12" s="1"/>
  <c r="C11" i="12" s="1"/>
  <c r="E15" i="11"/>
  <c r="C15" i="11"/>
  <c r="G14" i="11"/>
  <c r="G13" i="11"/>
  <c r="G12" i="11"/>
  <c r="G11" i="11"/>
  <c r="G10" i="11"/>
  <c r="G9" i="11"/>
  <c r="G8" i="11"/>
  <c r="G7" i="11"/>
  <c r="G6" i="11"/>
  <c r="G5" i="11"/>
  <c r="B12" i="10"/>
  <c r="F49" i="8"/>
  <c r="F48" i="8"/>
  <c r="F47" i="8"/>
  <c r="F46" i="8"/>
  <c r="C30" i="6"/>
  <c r="H27" i="6"/>
  <c r="H26" i="6"/>
  <c r="H25" i="6"/>
  <c r="H24" i="6"/>
  <c r="H23" i="6"/>
  <c r="H22" i="6"/>
  <c r="H21" i="6"/>
  <c r="H20" i="6"/>
  <c r="H19" i="6"/>
  <c r="H18" i="6"/>
  <c r="H17" i="6"/>
  <c r="H16" i="6"/>
  <c r="H15" i="6"/>
  <c r="H14" i="6"/>
  <c r="H13" i="6"/>
  <c r="H12" i="6"/>
  <c r="H11" i="6"/>
  <c r="H10" i="6"/>
  <c r="H9" i="6"/>
  <c r="H8" i="6"/>
  <c r="H7" i="6"/>
  <c r="H6" i="6"/>
  <c r="H5" i="6"/>
  <c r="C61" i="4"/>
  <c r="C60" i="4"/>
  <c r="C59" i="4"/>
  <c r="C58" i="4"/>
  <c r="C57" i="4"/>
  <c r="C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D33" i="3"/>
  <c r="D32" i="3"/>
  <c r="D31" i="3"/>
  <c r="E16" i="2"/>
  <c r="E17" i="2" s="1"/>
  <c r="F15" i="2"/>
  <c r="G15" i="2" s="1"/>
  <c r="F13" i="2"/>
  <c r="G13" i="2" s="1"/>
  <c r="F12" i="2"/>
  <c r="G12" i="2" s="1"/>
  <c r="F11" i="2"/>
  <c r="G11" i="2" s="1"/>
  <c r="B6" i="2"/>
  <c r="B7" i="2" s="1"/>
  <c r="C62" i="4" l="1"/>
  <c r="E16" i="12"/>
  <c r="F16" i="12" s="1"/>
  <c r="E17" i="12"/>
  <c r="F17" i="12" s="1"/>
  <c r="G15" i="11"/>
  <c r="C29" i="6"/>
  <c r="B10" i="12"/>
  <c r="E18" i="12"/>
  <c r="F18" i="12" s="1"/>
  <c r="E19" i="12"/>
  <c r="F19" i="12" s="1"/>
  <c r="E20" i="12"/>
  <c r="F20" i="12" s="1"/>
  <c r="B11" i="12" l="1"/>
  <c r="D11" i="12" s="1"/>
  <c r="D10" i="12"/>
  <c r="F14" i="2"/>
  <c r="G14" i="2" s="1"/>
</calcChain>
</file>

<file path=xl/sharedStrings.xml><?xml version="1.0" encoding="utf-8"?>
<sst xmlns="http://schemas.openxmlformats.org/spreadsheetml/2006/main" count="1260" uniqueCount="806">
  <si>
    <t>SE Lab Assignment 1 Team Workbook</t>
  </si>
  <si>
    <t>Smart Ticketing System (TVM)  |  Sem 1_2627  |  One workbook per group, kept in your shared folder and in your GitHub repository</t>
  </si>
  <si>
    <t>Purpose</t>
  </si>
  <si>
    <t>This workbook is your group's working record for Lab Group Assignment 1. It contains the Clarification Q&amp;A and the requirements (two deliverables you hand in as Excel or Word), plus trackers that show your process: who built what, the diagrams and their status, your Copilot prompts, your commits and your weekly progress. The lecturer reads it during the labs and replies in the green cells. Student self-marking and lecturer marking are on the Marking sheet. It supports, and does not replace, your official submission (the .docx report, readme.txt and the % contribution).</t>
  </si>
  <si>
    <t>How to use it</t>
  </si>
  <si>
    <t>1. Fill in the Team sheet first (3 to 5 students, % contribution totalling 100%).</t>
  </si>
  <si>
    <t>2. Do the Clarification Q&amp;A before you write the requirements. Every assumed answer should lead to a requirement ID.</t>
  </si>
  <si>
    <t>3. Update the Artifact Tracker, Commit Log, AI Prompt Log and Progress Log every lab week. These show the process mark evidence.</t>
  </si>
  <si>
    <t>4. Before submission, use the Consistency Check sheet, then self-mark on the Marking sheet. The lecturer marks in the green column.</t>
  </si>
  <si>
    <t>Colour legend</t>
  </si>
  <si>
    <t>Student input</t>
  </si>
  <si>
    <t>Yellow fill, blue text</t>
  </si>
  <si>
    <t>Lecturer input</t>
  </si>
  <si>
    <t>Green fill, blue text</t>
  </si>
  <si>
    <t>Calculated / fixed</t>
  </si>
  <si>
    <t>Black text, no fill</t>
  </si>
  <si>
    <t>Sheets in this workbook</t>
  </si>
  <si>
    <t>Sheet</t>
  </si>
  <si>
    <t>What it is for</t>
  </si>
  <si>
    <t>Report section it feeds</t>
  </si>
  <si>
    <t>When to fill in</t>
  </si>
  <si>
    <t>Team</t>
  </si>
  <si>
    <t>Members, roles, % contribution, commit counts</t>
  </si>
  <si>
    <t>1.3, 7</t>
  </si>
  <si>
    <t>Week 1</t>
  </si>
  <si>
    <t>Clarification Q&amp;A</t>
  </si>
  <si>
    <t>Ambiguities, questions and assumed answers (Task 1, 5%)</t>
  </si>
  <si>
    <t>2.1</t>
  </si>
  <si>
    <t>Before requirements</t>
  </si>
  <si>
    <t>Requirements</t>
  </si>
  <si>
    <t>Functional, non-functional and domain requirements with measurable metrics (Task 2, 15%)</t>
  </si>
  <si>
    <t>2.2</t>
  </si>
  <si>
    <t>Phase 1</t>
  </si>
  <si>
    <t>Use Cases</t>
  </si>
  <si>
    <t>Use case register and description status (Task 3)</t>
  </si>
  <si>
    <t>3.1</t>
  </si>
  <si>
    <t>Phase 2</t>
  </si>
  <si>
    <t>Artifact Tracker</t>
  </si>
  <si>
    <t>Every deliverable: owner, tool, link, status, % done</t>
  </si>
  <si>
    <t>All</t>
  </si>
  <si>
    <t>Throughout</t>
  </si>
  <si>
    <t>Consistency Check</t>
  </si>
  <si>
    <t>Alignment of the diagrams and the code</t>
  </si>
  <si>
    <t>3.4</t>
  </si>
  <si>
    <t>Before submitting</t>
  </si>
  <si>
    <t>AI Prompt Log</t>
  </si>
  <si>
    <t>Copilot prompts, how the AI helped, how you validated (Task 9)</t>
  </si>
  <si>
    <t>5.2.2</t>
  </si>
  <si>
    <t>Commit Log</t>
  </si>
  <si>
    <t>Commits and pull requests per member per week</t>
  </si>
  <si>
    <t>5.2.1</t>
  </si>
  <si>
    <t>Weekly</t>
  </si>
  <si>
    <t>Progress Log</t>
  </si>
  <si>
    <t>Weekly plan, actual work, evidence and lecturer feedback</t>
  </si>
  <si>
    <t>Process mark</t>
  </si>
  <si>
    <t>Marking</t>
  </si>
  <si>
    <t>Self-mark and lecturer mark for the 10 tasks (100%)</t>
  </si>
  <si>
    <t>–</t>
  </si>
  <si>
    <t>End</t>
  </si>
  <si>
    <t>Summary</t>
  </si>
  <si>
    <t>Group result, QT2 points and individual marks</t>
  </si>
  <si>
    <t>Team and Contribution</t>
  </si>
  <si>
    <t>Group of 3 to 5 students. The % contribution of each member must total 100% and match your readme.txt.</t>
  </si>
  <si>
    <t>Group name</t>
  </si>
  <si>
    <t>GitHub repo</t>
  </si>
  <si>
    <t>Group size</t>
  </si>
  <si>
    <t>Size check</t>
  </si>
  <si>
    <t>Members</t>
  </si>
  <si>
    <t>Member</t>
  </si>
  <si>
    <t>Name</t>
  </si>
  <si>
    <t>Student ID</t>
  </si>
  <si>
    <t>Role / main responsibility</t>
  </si>
  <si>
    <t>% contribution</t>
  </si>
  <si>
    <t>Commits (from Commit Log)</t>
  </si>
  <si>
    <t>Check</t>
  </si>
  <si>
    <t>Member 1</t>
  </si>
  <si>
    <t>Requirements and report integration (Q&amp;A, requirements, sections 1, 2, 6, 7, 8)</t>
  </si>
  <si>
    <t>Member 2</t>
  </si>
  <si>
    <t>524H0161</t>
  </si>
  <si>
    <t>Use case modeling and activity diagrams</t>
  </si>
  <si>
    <t>Member 3</t>
  </si>
  <si>
    <t>Sequence, state chart and class diagrams; architecture diagram</t>
  </si>
  <si>
    <t>Member 4</t>
  </si>
  <si>
    <t>Visual Studio engineering, GitHub repository and Copilot documentation</t>
  </si>
  <si>
    <t>Member 5</t>
  </si>
  <si>
    <t>524H0199</t>
  </si>
  <si>
    <t>UI/UX Touchscreen Mockups (4.1); UML Deployment Diagram (4.2.2); C# .NET 8 WinForms &amp; MSSQL Demo (5.3)</t>
  </si>
  <si>
    <t>Total contribution</t>
  </si>
  <si>
    <t>Contribution is the share of the whole project each member built, in agreement with the group. The lecturer may adjust it using the Git history, the pull requests and individual questions.</t>
  </si>
  <si>
    <t>Clarification Q&amp;A (Task 1, 5 marks)</t>
  </si>
  <si>
    <t>Identify the ambiguities in the problem statement, ask the stakeholders, and give logical assumed answers to base your design on.</t>
  </si>
  <si>
    <t>Q ID</t>
  </si>
  <si>
    <t>Area</t>
  </si>
  <si>
    <t>Ambiguity found in the problem statement</t>
  </si>
  <si>
    <t>Clarifying question to the stakeholder</t>
  </si>
  <si>
    <t>Stakeholder asked</t>
  </si>
  <si>
    <t>Assumed answer (logical)</t>
  </si>
  <si>
    <t>Rationale and impact on the design</t>
  </si>
  <si>
    <t>Requirement ID</t>
  </si>
  <si>
    <t>Status</t>
  </si>
  <si>
    <t>Lecturer comment</t>
  </si>
  <si>
    <t>Q01</t>
  </si>
  <si>
    <t>Ticket and fares</t>
  </si>
  <si>
    <t>"Sells public transportation tickets (Bus, MRT, etc.)" does not say which ticket types exist.</t>
  </si>
  <si>
    <t>Which transport modes and ticket types must the TVM sell: single-journey only, or also return, day-pass and stored-value tickets?</t>
  </si>
  <si>
    <t>Transport authority</t>
  </si>
  <si>
    <t>Bus and MRT single-journey tickets only. Return, day-pass and stored-value tickets are out of scope for this release.</t>
  </si>
  <si>
    <t>Bounds the scope. The Ticket class keeps a mode and a type attribute so new types can be added later.</t>
  </si>
  <si>
    <t>FR2, FR3</t>
  </si>
  <si>
    <t>Draft</t>
  </si>
  <si>
    <t>Q02</t>
  </si>
  <si>
    <t>The brief does not say how the fare of a destination is decided or where fares are kept.</t>
  </si>
  <si>
    <t>Is the fare a fixed price per origin-destination pair or distance/zone based, and who maintains the fare table?</t>
  </si>
  <si>
    <t>Fixed price per origin-destination pair (origin = the station where the TVM stands), in whole VND. The authority maintains one Fare table on the central server and each TVM synchronises it every 15 minutes.</t>
  </si>
  <si>
    <t>Fare and Destination become database entities. The TVM never hard-codes prices.</t>
  </si>
  <si>
    <t>FR2, FR4, DR1</t>
  </si>
  <si>
    <t>Q03</t>
  </si>
  <si>
    <t>It is unclear whether one transaction means one ticket.</t>
  </si>
  <si>
    <t>Can a passenger buy several tickets in one transaction, and for different destinations?</t>
  </si>
  <si>
    <t>Operator</t>
  </si>
  <si>
    <t>Yes: 1 to 5 tickets of the same destination and type per transaction. Different destinations need separate transactions.</t>
  </si>
  <si>
    <t>Transaction gets a quantity. Total = fare × quantity, printing loops over the tickets and each ticket needs its own barcode.</t>
  </si>
  <si>
    <t>FR3, FR5, FR16</t>
  </si>
  <si>
    <t>Q04</t>
  </si>
  <si>
    <t>Fare categories (student, senior, child) and fare changes are not mentioned.</t>
  </si>
  <si>
    <t>Are concession fares offered, and which price applies if the fare changes while a passenger is in the middle of a transaction?</t>
  </si>
  <si>
    <t>Full fare only, because a TVM cannot verify eligibility. The fare shown at order confirmation is locked for that transaction and a new fare applies from the next one.</t>
  </si>
  <si>
    <t>Avoids price disputes. The Transaction stores a fare snapshot.</t>
  </si>
  <si>
    <t>FR4</t>
  </si>
  <si>
    <t>Q05</t>
  </si>
  <si>
    <t>Payment</t>
  </si>
  <si>
    <t>"Credit Card" is not defined: card brands and entry methods are unknown.</t>
  </si>
  <si>
    <t>Which card schemes and entry methods must be supported (Visa, Mastercard, JCB; chip insert, contactless tap, magnetic stripe)?</t>
  </si>
  <si>
    <t>Bank / payment gateway</t>
  </si>
  <si>
    <t>Visa, Mastercard and JCB credit cards by chip insert or contactless tap. Magnetic stripe is not supported.</t>
  </si>
  <si>
    <t>Decides the card-reader hardware, EMV rules and the PaymentGateway interface.</t>
  </si>
  <si>
    <t>FR6, FR7, DR2</t>
  </si>
  <si>
    <t>Q06</t>
  </si>
  <si>
    <t>"QR Code linked to a banking system" and "Digital Wallet" both use a QR code; the difference is unclear.</t>
  </si>
  <si>
    <t>How do the bank QR and the wallet QR differ for the passenger and for the system?</t>
  </si>
  <si>
    <t>Bank QR: an interbank VietQR code scanned in any banking app, confirmed by the bank. Wallet QR: a provider-specific dynamic QR (Momo, ZaloPay, VNPay) scanned in that wallet app, confirmed by a callback. Both are one-time codes bound to the amount.</t>
  </si>
  <si>
    <t>Two payment types with different standards and confirmation channels behind one PaymentGateway interface. Gives separate use cases.</t>
  </si>
  <si>
    <t>FR8, FR9, DR3</t>
  </si>
  <si>
    <t>Q07</t>
  </si>
  <si>
    <t>The time a passenger has to pay is not stated.</t>
  </si>
  <si>
    <t>How long is a QR code valid, and how long may the machine wait for a payment result?</t>
  </si>
  <si>
    <t>A QR code is valid for 120 seconds, shown with a countdown, and can be regenerated at most twice per transaction. A card authorization waits at most 30 seconds.</t>
  </si>
  <si>
    <t>Defines the Awaiting payment state, its timeout transition and a response-time limit.</t>
  </si>
  <si>
    <t>FR8, FR9, FR13, NFR3</t>
  </si>
  <si>
    <t>Q08</t>
  </si>
  <si>
    <t>"Upon validation of the credit transaction" ignores the case where validation fails.</t>
  </si>
  <si>
    <t>What happens when the card is declined or expired, and how many attempts are allowed?</t>
  </si>
  <si>
    <t>A generic "payment declined" message is shown. The passenger has 3 attempts or may switch to another payment mode, then the transaction is cancelled. No ticket and no charge.</t>
  </si>
  <si>
    <t>Adds the decline branch to the activity and sequence diagrams and a retry counter to Transaction.</t>
  </si>
  <si>
    <t>FR12</t>
  </si>
  <si>
    <t>Q09</t>
  </si>
  <si>
    <t>Failure handling</t>
  </si>
  <si>
    <t>The brief does not say whether a passenger can abandon a purchase.</t>
  </si>
  <si>
    <t>Can the passenger cancel at any step, and what happens to money already taken?</t>
  </si>
  <si>
    <t>Passenger</t>
  </si>
  <si>
    <t>Cancel is available on every screen until payment is confirmed. Cancelling while waiting for payment voids the authorization or invalidates the QR code and nothing is charged. After confirmation the sale is final and the ticket is printed.</t>
  </si>
  <si>
    <t>Adds a Cancelled state to the state chart and a cancel branch to the activity diagram.</t>
  </si>
  <si>
    <t>FR11</t>
  </si>
  <si>
    <t>Q10</t>
  </si>
  <si>
    <t>Nothing says what happens if money is taken but no ticket comes out.</t>
  </si>
  <si>
    <t>If payment is confirmed but the ticket cannot be printed, who refunds, how, and how fast?</t>
  </si>
  <si>
    <t>The TVM retries printing once, then refunds automatically to the original card, bank account or wallet and shows a refund reference. The refund request is sent within 60 seconds. The operator is alerted if a refund is still open after 24 hours.</t>
  </si>
  <si>
    <t>"Paid but no ticket" is the worst failure. It drives a refund flow, a Refund pending status and a reliability NFR.</t>
  </si>
  <si>
    <t>FR18, NFR6, DR8</t>
  </si>
  <si>
    <t>Q11</t>
  </si>
  <si>
    <t>A QR payment can complete after the QR code expired or the passenger cancelled.</t>
  </si>
  <si>
    <t>What should the system do with a payment that arrives late?</t>
  </si>
  <si>
    <t>No ticket is issued once the transaction has expired or been cancelled. The system refunds the late payment automatically and logs it as a late payment.</t>
  </si>
  <si>
    <t>Closes the race between callback and timeout. The status must be checked before any ticket is issued.</t>
  </si>
  <si>
    <t>FR14, NFR6</t>
  </si>
  <si>
    <t>Q12</t>
  </si>
  <si>
    <t>Behaviour when a passenger walks away is not stated.</t>
  </si>
  <si>
    <t>After how long without touch input should the TVM reset, and what about money already paid?</t>
  </si>
  <si>
    <t>On the selection screens, after 60 seconds without touch a 10-second warning is shown, then the session is cancelled and the TVM returns to Start. While waiting for payment the QR and card timeouts apply instead. A confirmed payment is always completed.</t>
  </si>
  <si>
    <t>Prevents a blocked machine and defines the timeout transitions in the state chart.</t>
  </si>
  <si>
    <t>FR21</t>
  </si>
  <si>
    <t>Q13</t>
  </si>
  <si>
    <t>Hardware</t>
  </si>
  <si>
    <t>Printer and paper behaviour is not covered.</t>
  </si>
  <si>
    <t>What should happen when the printer fails or paper runs out, before and after a payment?</t>
  </si>
  <si>
    <t>Maintenance</t>
  </si>
  <si>
    <t>The TVM checks the printer before accepting any payment. If it is not ready or paper is almost out, the TVM goes Out of service for sales. A fault after payment follows the refund rule in Q10.</t>
  </si>
  <si>
    <t>Adds a pre-condition to Buy a Ticket, an Out of service state and a link between printer status and sales.</t>
  </si>
  <si>
    <t>FR17, FR18, FR22</t>
  </si>
  <si>
    <t>Q14</t>
  </si>
  <si>
    <t>"Low paper" and alerting are not defined.</t>
  </si>
  <si>
    <t>At what paper level must staff be warned, how, and how fast?</t>
  </si>
  <si>
    <t>A warning goes to the operator console at 50 tickets or fewer and sales stop at fewer than 10 tickets. Alerts for printer error, lost connectivity and gateway failure arrive within 60 seconds. The TVM sends a status heartbeat every 60 seconds.</t>
  </si>
  <si>
    <t>Gives measurable thresholds for the monitoring use case.</t>
  </si>
  <si>
    <t>FR17, FR23</t>
  </si>
  <si>
    <t>Q15</t>
  </si>
  <si>
    <t>"A paper ticket with a printed barcode": content, barcode type and validity are not given.</t>
  </si>
  <si>
    <t>What must the ticket show, which barcode type is used and how long is the ticket valid?</t>
  </si>
  <si>
    <t>Ticket ID, mode, origin, destination, fare, date and time, validity and a Code 128 barcode encoding a unique 16-digit ticket number with a check digit. Valid for one journey within 24 hours of issue.</t>
  </si>
  <si>
    <t>Defines the Ticket attributes, the print layout and the contract with the gate readers.</t>
  </si>
  <si>
    <t>FR15, FR16, DR4</t>
  </si>
  <si>
    <t>Q16</t>
  </si>
  <si>
    <t>Security</t>
  </si>
  <si>
    <t>Card data handling is not mentioned.</t>
  </si>
  <si>
    <t>May the TVM or our database store card data, and which security standard applies?</t>
  </si>
  <si>
    <t>No. A certified reader sends card data to the gateway. The system keeps only a gateway token, the card scheme and the last 4 digits. PCI DSS and EMV rules apply and no other personal data is collected.</t>
  </si>
  <si>
    <t>Reduces PCI scope and data risk. Payment stores masked data only.</t>
  </si>
  <si>
    <t>NFR9, DR2, DR5</t>
  </si>
  <si>
    <t>Q17</t>
  </si>
  <si>
    <t>The brief does not say how QR and wallet results reach the TVM or how to trust them.</t>
  </si>
  <si>
    <t>How are payment results delivered, and how does the system know they are genuine and not repeated?</t>
  </si>
  <si>
    <t>The gateway sends a signed callback over HTTPS with the transaction reference and amount. The system verifies signature, amount and reference and ignores duplicate callbacks.</t>
  </si>
  <si>
    <t>Protects against forged "paid" messages and double ticket issue.</t>
  </si>
  <si>
    <t>FR10, FR20, NFR10</t>
  </si>
  <si>
    <t>Q18</t>
  </si>
  <si>
    <t>Who may open or service the machine is unspecified.</t>
  </si>
  <si>
    <t>Who may enter maintenance mode and how are they identified?</t>
  </si>
  <si>
    <t>Only authorised staff with a staff card and PIN. Every maintenance access is logged with staff ID and time.</t>
  </si>
  <si>
    <t>Adds a Maintenance staff actor and an access-control step to the maintenance use case.</t>
  </si>
  <si>
    <t>FR24</t>
  </si>
  <si>
    <t>Q19</t>
  </si>
  <si>
    <t>Performance and reliability</t>
  </si>
  <si>
    <t>The brief gives no response-time expectation.</t>
  </si>
  <si>
    <t>What response times does a passenger expect for the menu, the QR code, the card result and the ticket print?</t>
  </si>
  <si>
    <t>Menu within 1 s of pressing Start, QR code within 3 s of choosing the mode, card result within 10 s, first ticket printed within 5 s of payment confirmation, each measured at a stated percentile.</t>
  </si>
  <si>
    <t>The rubric asks for measurable response times. These limits become NFR1 to NFR4.</t>
  </si>
  <si>
    <t>NFR1, NFR2, NFR3, NFR4</t>
  </si>
  <si>
    <t>Q20</t>
  </si>
  <si>
    <t>"Reliable" is not quantified.</t>
  </si>
  <si>
    <t>What service availability and transaction success rate does the operator require?</t>
  </si>
  <si>
    <t>Sales available 99.5% of operating hours (05:00 to 23:00) per month, and at least 99.5% of confirmed payments end with a printed ticket.</t>
  </si>
  <si>
    <t>Gives quantified reliability limits for NFR5 and NFR8.</t>
  </si>
  <si>
    <t>NFR5, NFR8</t>
  </si>
  <si>
    <t>Q21</t>
  </si>
  <si>
    <t>Behaviour when the network or power fails is not covered.</t>
  </si>
  <si>
    <t>Should the TVM sell offline, and what happens after a power cut during a transaction?</t>
  </si>
  <si>
    <t>No offline sales: without a connection to the server or gateway the TVM goes Out of service. After a restart it recovers the last transaction from local storage and completes or refunds it within 2 minutes.</t>
  </si>
  <si>
    <t>Avoids offline fraud. Requires a persisted transaction state.</t>
  </si>
  <si>
    <t>FR22, NFR7</t>
  </si>
  <si>
    <t>Q22</t>
  </si>
  <si>
    <t>Users and accessibility</t>
  </si>
  <si>
    <t>Language and accessibility are not mentioned.</t>
  </si>
  <si>
    <t>Which languages must be supported and what accessibility features are required?</t>
  </si>
  <si>
    <t>Vietnamese and English, switchable at any time before payment. Touch buttons at least 15 mm x 15 mm, text at least 18 pt, a high-contrast mode, audio guidance through a headphone jack, and controls placed 0.9 to 1.2 m above the floor for wheelchair users. A first-time passenger should buy one ticket in 90 seconds or less (median), with at least 90% succeeding without help.</t>
  </si>
  <si>
    <t>Sets design constraints for the UI screens and a usability NFR.</t>
  </si>
  <si>
    <t>FR1, NFR11, DR7</t>
  </si>
  <si>
    <t>Q23</t>
  </si>
  <si>
    <t>Integration</t>
  </si>
  <si>
    <t>External payment gateways are named only as examples.</t>
  </si>
  <si>
    <t>Do we integrate each provider separately or through one aggregator, and how are settlements reconciled?</t>
  </si>
  <si>
    <t>One payment service with a common PaymentGateway interface and one adapter per provider (Momo, VNPay, ZaloPay, card acquirer). Each provider offers a sandbox and a daily settlement file.</t>
  </si>
  <si>
    <t>Adapter structure for the design and a settlement feed for reconciliation.</t>
  </si>
  <si>
    <t>FR10, FR25, NFR2</t>
  </si>
  <si>
    <t>Q24</t>
  </si>
  <si>
    <t>Other</t>
  </si>
  <si>
    <t>The brief speaks of "a" machine but not of how many or how they connect to servers.</t>
  </si>
  <si>
    <t>How many TVMs will run and do they share one central server?</t>
  </si>
  <si>
    <t>Up to 50 TVMs share one central application and database server, with a peak of 200 transactions per minute in total.</t>
  </si>
  <si>
    <t>Sizing for the capacity NFR. The deployment diagram shows one central server.</t>
  </si>
  <si>
    <t>FR23, NFR12</t>
  </si>
  <si>
    <t>Q25</t>
  </si>
  <si>
    <t>Record keeping and end-of-day control are not described.</t>
  </si>
  <si>
    <t>What must be logged, for how long, and what daily reports does Finance need?</t>
  </si>
  <si>
    <t>Log every transaction including failures and cancellations and keep records 10 years (to be confirmed by Finance). A daily reconciliation report by payment mode is compared with the settlement files.</t>
  </si>
  <si>
    <t>Needed for audit and disputes. Drives the Transaction table.</t>
  </si>
  <si>
    <t>FR19, FR25, DR6</t>
  </si>
  <si>
    <t>Questions written</t>
  </si>
  <si>
    <t>Questions linked to a requirement</t>
  </si>
  <si>
    <t>Areas covered</t>
  </si>
  <si>
    <t>Strong Q&amp;A uncovers hidden complexity (timeouts, declined payments, refunds, printer or paper out, offline mode, fares). Aim for several different areas, not many questions on one topic.</t>
  </si>
  <si>
    <t>Requirements Specification (Task 2, 15 marks)</t>
  </si>
  <si>
    <t>Functional, Non-Functional and Domain requirements. Every NFR needs a measurable metric. Focus: reliability and response time.</t>
  </si>
  <si>
    <t>ID</t>
  </si>
  <si>
    <t>Requirement</t>
  </si>
  <si>
    <t>Type</t>
  </si>
  <si>
    <t>Category (NFR)</t>
  </si>
  <si>
    <t>Measurable metric / fit criterion (NFR)</t>
  </si>
  <si>
    <t>Measurement method</t>
  </si>
  <si>
    <t>Priority</t>
  </si>
  <si>
    <t>Use case</t>
  </si>
  <si>
    <t>Source (Q ID)</t>
  </si>
  <si>
    <t>The system shall show a Start screen with a Start button and a language selector (Vietnamese or English) whenever the TVM is idle and in service.</t>
  </si>
  <si>
    <t>FR</t>
  </si>
  <si>
    <t>Medium</t>
  </si>
  <si>
    <t>UC01</t>
  </si>
  <si>
    <t>The system shall, when the passenger presses Start, display a menu of destinations grouped by transport mode (Bus, MRT), each with its single-journey fare in VND.</t>
  </si>
  <si>
    <t>High</t>
  </si>
  <si>
    <t>Q01, Q02</t>
  </si>
  <si>
    <t>The system shall let the passenger choose one destination and a quantity of 1 to 5 tickets of the same type.</t>
  </si>
  <si>
    <t>Q01, Q03</t>
  </si>
  <si>
    <t>The system shall calculate the total price as full fare × quantity, using the fare effective when the passenger confirms the selection, and keep that fare fixed for the whole transaction. Fare updates shall reach each TVM at least every 15 minutes.</t>
  </si>
  <si>
    <t>Q02, Q04</t>
  </si>
  <si>
    <t>The system shall show an order summary (destination, quantity, total) and require the passenger to confirm it before payment starts.</t>
  </si>
  <si>
    <t>The system shall offer the payment modes Credit Card, Bank QR Code and Digital Wallet and hide any mode that is currently unavailable.</t>
  </si>
  <si>
    <t>The system shall, for Credit Card payment, prompt the passenger to insert or tap the card, read it through the card reader and send an authorization request for the total to the payment gateway.</t>
  </si>
  <si>
    <t>UC02</t>
  </si>
  <si>
    <t>The system shall, for Bank QR payment, generate a unique one-time QR code containing the amount and the transaction reference and display it with a countdown timer.</t>
  </si>
  <si>
    <t>UC03</t>
  </si>
  <si>
    <t>Q06, Q07</t>
  </si>
  <si>
    <t>The system shall, for Digital Wallet payment, generate a unique one-time QR code for the selected wallet (Momo, ZaloPay or VNPay) and display it with a countdown timer.</t>
  </si>
  <si>
    <t>UC04</t>
  </si>
  <si>
    <t>The system shall accept a payment result (a direct response for card, a callback for QR and wallet) only after verifying its signature, amount and transaction reference.</t>
  </si>
  <si>
    <t>UC02, UC03, UC04</t>
  </si>
  <si>
    <t>Q17, Q23</t>
  </si>
  <si>
    <t>The system shall allow the passenger to cancel on any screen until payment is confirmed, voiding the authorization or invalidating the QR code without any charge.</t>
  </si>
  <si>
    <t>UC06</t>
  </si>
  <si>
    <t>The system shall, when a card payment is declined, show a generic decline message and allow up to 3 attempts or a change of payment mode before cancelling the transaction.</t>
  </si>
  <si>
    <t>The system shall expire a QR code after 120 seconds, show a timeout message, invalidate the code and offer to regenerate it (at most twice per transaction) or to cancel.</t>
  </si>
  <si>
    <t>UC03, UC04</t>
  </si>
  <si>
    <t>The system shall not issue a ticket for a payment that arrives after the transaction expired or was cancelled, and shall refund that payment automatically.</t>
  </si>
  <si>
    <t>The system shall print the ticket only after payment is confirmed, showing ticket ID, transport mode, origin, destination, fare, date and time, validity and a barcode.</t>
  </si>
  <si>
    <t>UC05</t>
  </si>
  <si>
    <t>The system shall print one ticket per purchased unit, each with a unique barcode number.</t>
  </si>
  <si>
    <t>Q03, Q15</t>
  </si>
  <si>
    <t>The system shall check the printer status and paper level before accepting a payment and shall not start a sale when the printer is not ready or fewer than 10 tickets of paper remain.</t>
  </si>
  <si>
    <t>UC05, UC07</t>
  </si>
  <si>
    <t>Q13, Q14</t>
  </si>
  <si>
    <t>The system shall, when payment is confirmed but printing fails, retry printing once and, if it still fails, refund the payment automatically to the original payment method and show a refund reference.</t>
  </si>
  <si>
    <t>UC05, UC06</t>
  </si>
  <si>
    <t>Q10, Q13</t>
  </si>
  <si>
    <t>The system shall record every transaction, including failed, cancelled, timed-out and refunded ones, with a unique ID, timestamps, items, amount, payment mode, status and gateway reference.</t>
  </si>
  <si>
    <t>The system shall issue tickets at most once per confirmed payment and shall ignore duplicate gateway callbacks for the same transaction.</t>
  </si>
  <si>
    <t>The system shall cancel a transaction and return to the Start screen after 60 seconds without touch input on the selection screens, showing a 10-second warning first.</t>
  </si>
  <si>
    <t>The system shall show an Out of service screen and block new sales when the printer, the connection to the central server or all payment modes are unavailable.</t>
  </si>
  <si>
    <t>UC08</t>
  </si>
  <si>
    <t>Q13, Q21</t>
  </si>
  <si>
    <t>The system shall send alerts to the operator console for low paper (50 tickets or fewer), printer errors, lost connectivity and gateway failures.</t>
  </si>
  <si>
    <t>Q14, Q24</t>
  </si>
  <si>
    <t>The system shall let authorised maintenance staff enter a maintenance mode with a staff card and PIN to refill paper, run a test print and view the machine status, and shall log every access.</t>
  </si>
  <si>
    <t>UC07</t>
  </si>
  <si>
    <t>The system shall produce a daily reconciliation report by payment mode and status, compare it with the gateway settlement files and flag any mismatch.</t>
  </si>
  <si>
    <t>Q23, Q25</t>
  </si>
  <si>
    <t>The system shall display the destination menu within 1 second of the passenger pressing Start in at least 95% of cases.</t>
  </si>
  <si>
    <t>NFR</t>
  </si>
  <si>
    <t>Response time</t>
  </si>
  <si>
    <t>Start pressed to menu shown: ≤ 1.0 s in ≥ 95% of cases and ≤ 2.0 s in 99%.</t>
  </si>
  <si>
    <t>TVM logs the two timestamps. Analyse 1,000 transactions in the test environment.</t>
  </si>
  <si>
    <t>The system shall display the QR code within 3 seconds after the passenger chooses Bank QR or Digital Wallet in at least 95% of cases (gateway latency of 1 second or less assumed).</t>
  </si>
  <si>
    <t>Mode selected to QR shown: ≤ 3.0 s in ≥ 95% of cases.</t>
  </si>
  <si>
    <t>Timestamps logged by the TVM. Analyse 500 attempts against the gateway sandbox.</t>
  </si>
  <si>
    <t>Q19, Q23</t>
  </si>
  <si>
    <t>The system shall show the result of a card authorization within 10 seconds of the card being read in at least 95% of cases, and shall treat the attempt as failed after 30 seconds.</t>
  </si>
  <si>
    <t>Card read to result shown: ≤ 10 s in ≥ 95% of cases. Hard timeout: 30 s in 100% of cases.</t>
  </si>
  <si>
    <t>Timestamps logged by the TVM. Analyse 1,000 card transactions against the sandbox acquirer, including 50 forced timeouts.</t>
  </si>
  <si>
    <t>Q19, Q07</t>
  </si>
  <si>
    <t>The system shall finish printing the first ticket within 5 seconds of payment confirmation, and each further ticket within 3 seconds, in at least 99% of cases.</t>
  </si>
  <si>
    <t>Payment confirmed to ticket printed: ≤ 5 s for the first ticket, ≤ 3 s for each further ticket, in ≥ 99% of cases.</t>
  </si>
  <si>
    <t>Timestamps logged by the TVM. Analyse 1,000 transactions, of which 200 with 5 tickets.</t>
  </si>
  <si>
    <t>At least 99.5% of confirmed payments shall end with all purchased tickets printed on the first attempt or after the one automatic retry.</t>
  </si>
  <si>
    <t>Reliability</t>
  </si>
  <si>
    <t>Tickets printed / payments confirmed ≥ 99.5% (passenger cancellations excluded).</t>
  </si>
  <si>
    <t>Count transaction statuses in the database over 10,000 transactions. In testing, run 1,000 sales with random printer faults.</t>
  </si>
  <si>
    <t>For every confirmed payment that ends without a ticket, the system shall submit a refund request within 60 seconds, and no refund shall stay open for more than 24 hours without being escalated to the operator.</t>
  </si>
  <si>
    <t>Refund request sent ≤ 60 s in 100% of cases. Refunds open &gt; 24 h and not escalated: 0.</t>
  </si>
  <si>
    <t>Fault-injection test (printer jam, 50 runs) and a daily query for Refund pending transactions older than 24 hours.</t>
  </si>
  <si>
    <t>Q10, Q11</t>
  </si>
  <si>
    <t>After a power loss or restart the TVM shall resolve any transaction that was in progress (complete it or refund it) within 2 minutes of starting, without losing a transaction record.</t>
  </si>
  <si>
    <t>Recovery ≤ 2 min in 100% of cases. Lost transaction records: 0.</t>
  </si>
  <si>
    <t>Cut power 50 times at different transaction states and check the database and the TVM log after restart.</t>
  </si>
  <si>
    <t>The sales function of each TVM shall be available at least 99.5% of the operating hours (05:00 to 23:00) in a calendar month, not counting planned maintenance.</t>
  </si>
  <si>
    <t>Availability</t>
  </si>
  <si>
    <t>In-service minutes / operating minutes ≥ 99.5% per month (about 2.7 hours of downtime in 30 days).</t>
  </si>
  <si>
    <t>TVM sends a heartbeat to the monitoring server every 60 seconds. Compute availability from the heartbeat log.</t>
  </si>
  <si>
    <t>The system shall never store or log a full card number, expiry date or security code. Only a gateway token, the card scheme and the last 4 digits may be kept.</t>
  </si>
  <si>
    <t>Occurrences of a full card number in the database, logs and TVM disk: 0.</t>
  </si>
  <si>
    <t>Code review plus an automatic scan of the database and log files with a card-number pattern after 200 test transactions.</t>
  </si>
  <si>
    <t>The system shall reject and log every gateway callback with an invalid signature, a wrong amount or an unknown transaction reference.</t>
  </si>
  <si>
    <t>Forged or replayed callbacks accepted: 0 out of 100 test cases.</t>
  </si>
  <si>
    <t>Send 100 forged and replayed callbacks to the callback endpoint and run unit tests of the verification code.</t>
  </si>
  <si>
    <t>A first-time passenger shall buy one ticket in 90 seconds or less (median) and at least 90% of first-time passengers shall succeed without help. Touch buttons shall be at least 15 mm × 15 mm and text at least 18 pt.</t>
  </si>
  <si>
    <t>Usability</t>
  </si>
  <si>
    <t>Median task time ≤ 90 s. Success without help ≥ 90%. Button size ≥ 15 mm. Text ≥ 18 pt.</t>
  </si>
  <si>
    <t>Usability test with at least 10 people on the prototype, with a stopwatch and an observer. Check sizes against the wireframes.</t>
  </si>
  <si>
    <t>The central server shall support 50 TVMs at a peak of 200 transactions per minute in total while still meeting the response-time limits NFR1 to NFR4.</t>
  </si>
  <si>
    <t>Capacity</t>
  </si>
  <si>
    <t>50 TVMs, 200 transactions per minute for 30 minutes, NFR1 to NFR4 still met.</t>
  </si>
  <si>
    <t>Load test with 50 simulated TVMs against the application server and database.</t>
  </si>
  <si>
    <t>All prices shall be in Vietnamese dong (VND), as whole amounts without decimals, and shall equal the fare approved by the transport authority for the origin-destination pair.</t>
  </si>
  <si>
    <t>DR</t>
  </si>
  <si>
    <t>Domain / source: Transport authority fare schedule (assumed, Q02)</t>
  </si>
  <si>
    <t>Card payments shall be processed through a PCI DSS compliant gateway and an EMV certified chip and contactless reader.</t>
  </si>
  <si>
    <t>Domain / source: PCI DSS; EMV (EMVCo)</t>
  </si>
  <si>
    <t>Q05, Q16</t>
  </si>
  <si>
    <t>Bank QR codes shall follow the VietQR (EMV QR Code) format and wallet QR codes shall follow the format defined by each wallet provider.</t>
  </si>
  <si>
    <t>Domain / source: NAPAS VietQR; EMVCo QR Code specification; Momo, ZaloPay and VNPay developer documentation</t>
  </si>
  <si>
    <t>Ticket barcodes shall use Code 128 encoding a unique 16-digit ticket number with a check digit. A ticket is valid for one journey within 24 hours of issue.</t>
  </si>
  <si>
    <t>Domain / source: ISO/IEC 15417 (Code 128); transport authority ticket rules (assumed, Q15)</t>
  </si>
  <si>
    <t>The system shall collect only the personal data needed to complete a payment and shall not store passenger identity or card details.</t>
  </si>
  <si>
    <t>Domain / source: Vietnam Decree 13/2023/ND-CP on personal data protection</t>
  </si>
  <si>
    <t>Transaction, refund and reconciliation records shall be kept for at least 10 years (period assumed, to be confirmed by Finance).</t>
  </si>
  <si>
    <t>Domain / source: Accounting and audit practice (assumed, Q25)</t>
  </si>
  <si>
    <t>The TVM shall offer accessible interaction: audio guidance through a headphone jack, a high-contrast mode, and controls placed 0.9 to 1.2 m above the floor.</t>
  </si>
  <si>
    <t>Domain / source: Vietnam Law on Persons with Disabilities (2010); WCAG 2.1 as guidance</t>
  </si>
  <si>
    <t>A refund shall always return to the original payment method (card, bank account or wallet) and never be paid in cash.</t>
  </si>
  <si>
    <t>Domain / source: Card scheme and wallet provider refund rules</t>
  </si>
  <si>
    <t>Functional requirements</t>
  </si>
  <si>
    <t>Non-functional requirements</t>
  </si>
  <si>
    <t>Domain requirements</t>
  </si>
  <si>
    <t>NFRs without a measurable metric</t>
  </si>
  <si>
    <t>Reliability NFRs (need at least 1)</t>
  </si>
  <si>
    <t>Response-time NFRs (need at least 1)</t>
  </si>
  <si>
    <t>Critical focus check</t>
  </si>
  <si>
    <t>Use Case Register (Task 3)</t>
  </si>
  <si>
    <t>One row per use case. Each needs a full description and appears in the use case diagram.</t>
  </si>
  <si>
    <t>Primary actor</t>
  </si>
  <si>
    <t>Short description</t>
  </si>
  <si>
    <t>Requirement IDs</t>
  </si>
  <si>
    <t>Description written?</t>
  </si>
  <si>
    <t>In activity / sequence diagram?</t>
  </si>
  <si>
    <t>Owner (ID)</t>
  </si>
  <si>
    <t>Buy a Ticket</t>
  </si>
  <si>
    <t>Passenger selects destination and payment method, pays, and receives a printed ticket.</t>
  </si>
  <si>
    <t>FR1, FR2, FR3, FR4, FR5, FR6, FR10, FR12, FR15, FR16, FR17, FR18, FR19, FR20, FR21, FR23, FR25, NFR1, NFR5, NFR7, NFR11, NFR12, DR1, DR5, DR7</t>
  </si>
  <si>
    <t>Yes</t>
  </si>
  <si>
    <t>Yes (activity 3.2.1)</t>
  </si>
  <si>
    <t>Pay by Credit Card</t>
  </si>
  <si>
    <t>Passenger taps or inserts a bank card; the TVM authorizes the payment through the payment gateway.</t>
  </si>
  <si>
    <t>FR6, FR7, FR10, FR12, FR23, NFR3, NFR9, DR2</t>
  </si>
  <si>
    <t>Partial (card payment is a call in 3.2.1; card gateway steps not drawn)</t>
  </si>
  <si>
    <t>Pay by QR Code</t>
  </si>
  <si>
    <t>Passenger scans a QR code with a banking app and confirms; the gateway sends a signed callback.</t>
  </si>
  <si>
    <t>FR6, FR8, FR10, FR13, FR14, FR23, FR25, NFR2, NFR10, DR3</t>
  </si>
  <si>
    <t>Yes (activity 3.2.2)</t>
  </si>
  <si>
    <t>Pay by Digital Wallet</t>
  </si>
  <si>
    <t>Passenger pays with Momo, VNPay or ZaloPay by scanning a one-time wallet QR code.</t>
  </si>
  <si>
    <t>FR6, FR9, FR10, FR13, FR14, FR23, FR25, NFR2, NFR10, DR3</t>
  </si>
  <si>
    <t>Print Ticket</t>
  </si>
  <si>
    <t>none, included in UC01</t>
  </si>
  <si>
    <t>The TVM prints the ticket after payment is confirmed. Included in UC01.</t>
  </si>
  <si>
    <t>FR15, FR16, FR17, FR18, NFR4, DR4</t>
  </si>
  <si>
    <t>Cancel Purchase / Refund</t>
  </si>
  <si>
    <t>Passenger (cancel) or TVM (refund)</t>
  </si>
  <si>
    <t>Cancels an unpaid transaction, or refunds a paid transaction when printing fails. Extends UC01.</t>
  </si>
  <si>
    <t>FR11, FR14, FR18, FR19, FR21, NFR6, DR8</t>
  </si>
  <si>
    <t>Yes (cancel and refund branches in 3.2.1 and 3.2.2)</t>
  </si>
  <si>
    <t>Refill Paper &amp; Maintain TVM</t>
  </si>
  <si>
    <t>Maintenance Staff</t>
  </si>
  <si>
    <t>Staff refills paper, checks components, and returns the TVM to service.</t>
  </si>
  <si>
    <t>FR17, FR23, FR24, NFR8</t>
  </si>
  <si>
    <t>No</t>
  </si>
  <si>
    <t>Monitor Machine Status</t>
  </si>
  <si>
    <t>Operator watches machine status and alerts, dispatches maintenance, and reviews reconciliation results.</t>
  </si>
  <si>
    <t>FR22, FR23, FR25, NFR8, DR6</t>
  </si>
  <si>
    <t>Track every deliverable. Percent complete is calculated from the status.</t>
  </si>
  <si>
    <t>Task</t>
  </si>
  <si>
    <t>Artifact</t>
  </si>
  <si>
    <t>Marks</t>
  </si>
  <si>
    <t>Tool</t>
  </si>
  <si>
    <t>File / link</t>
  </si>
  <si>
    <t>% complete</t>
  </si>
  <si>
    <t>1</t>
  </si>
  <si>
    <t>Clarification Q&amp;A (Excel)</t>
  </si>
  <si>
    <t>Excel (this workbook)</t>
  </si>
  <si>
    <t>Sheet 'Clarification Q&amp;A'</t>
  </si>
  <si>
    <t>2</t>
  </si>
  <si>
    <t>Requirements Specification</t>
  </si>
  <si>
    <t>Excel and Word</t>
  </si>
  <si>
    <t>Sheet 'Requirements'; report section 2.2</t>
  </si>
  <si>
    <t>3</t>
  </si>
  <si>
    <t>Use case diagram</t>
  </si>
  <si>
    <t>PlantUML (plantuml.com)</t>
  </si>
  <si>
    <t>Report 3.1.1; m2_1_use_case_diagram.puml</t>
  </si>
  <si>
    <t>Use case descriptions</t>
  </si>
  <si>
    <t>Word (report) and Use Cases sheet</t>
  </si>
  <si>
    <t>Report 3.1.3; Use Cases sheet</t>
  </si>
  <si>
    <t>4</t>
  </si>
  <si>
    <t>Activity diagram: buy a ticket</t>
  </si>
  <si>
    <t>Report 3.2.1; m2_3_buy_a_ticket_activity.puml</t>
  </si>
  <si>
    <t>Activity diagram: payment gateways</t>
  </si>
  <si>
    <t>Report 3.2.2; m2_2_payment_gateway_activity.puml</t>
  </si>
  <si>
    <t>5</t>
  </si>
  <si>
    <t>Sequence diagram</t>
  </si>
  <si>
    <t>524H0166</t>
  </si>
  <si>
    <t>Report 3.3.1; sequence_1_selection_payment.puml, sequence_2_result_printing.puml, sequence_3_failures_cancel.puml</t>
  </si>
  <si>
    <t>State chart diagram</t>
  </si>
  <si>
    <t>Report 3.3.2; state_chart.puml</t>
  </si>
  <si>
    <t>Class diagram</t>
  </si>
  <si>
    <t>Report 3.3.3; class_diagram_1_core.puml, class_diagram_2_supporting.puml, Class_table_3.3.3.docx; TVM.cs</t>
  </si>
  <si>
    <t>6</t>
  </si>
  <si>
    <t>UI/UX wireframes or mockups</t>
  </si>
  <si>
    <t>Figma / HTML5 SVG</t>
  </si>
  <si>
    <t>https://www.figma.com/design/chjKyWaJin2KMWQ9iaUzuP/TVM?node-id=0-1&amp;t=MFddgbURntkb09Qw-1</t>
  </si>
  <si>
    <t>Done</t>
  </si>
  <si>
    <t>7</t>
  </si>
  <si>
    <t>Architecture diagram</t>
  </si>
  <si>
    <t>Report 4.2.1; architecture.puml</t>
  </si>
  <si>
    <t>Deployment diagram</t>
  </si>
  <si>
    <t>PlantUML / Graphviz</t>
  </si>
  <si>
    <t>deployment_diagram.png</t>
  </si>
  <si>
    <t>8</t>
  </si>
  <si>
    <t>VS forward engineering (model to code)</t>
  </si>
  <si>
    <t>VS backward engineering (code to model)</t>
  </si>
  <si>
    <t>VS Code Map</t>
  </si>
  <si>
    <t>9</t>
  </si>
  <si>
    <t>GitHub repository with collaboration history</t>
  </si>
  <si>
    <t>Copilot prompt documentation</t>
  </si>
  <si>
    <t>10</t>
  </si>
  <si>
    <t>Demo: C# and MSSQL input form</t>
  </si>
  <si>
    <t>VS 2022 / .NET 8 WinForms</t>
  </si>
  <si>
    <t>src/TvmDemo/Views/MainForm.cs</t>
  </si>
  <si>
    <t>Demo: output report or success screen</t>
  </si>
  <si>
    <t>VS 2022 / TicketPrinter.cs</t>
  </si>
  <si>
    <t>Demo: database script and run instructions</t>
  </si>
  <si>
    <t>MSSQL LocalDB &amp; Express</t>
  </si>
  <si>
    <t>Report .docx</t>
  </si>
  <si>
    <t>readme.txt</t>
  </si>
  <si>
    <t>% contribution of each member</t>
  </si>
  <si>
    <t>Overall progress</t>
  </si>
  <si>
    <t>Artifacts done</t>
  </si>
  <si>
    <t>Marks column shows the weight of each task of the assignment (split across its artifacts for tracking only).</t>
  </si>
  <si>
    <t>Model Consistency Check</t>
  </si>
  <si>
    <t>Diagrams must be syntactically correct, logically sound and aligned with each other.</t>
  </si>
  <si>
    <t>#</t>
  </si>
  <si>
    <t>Diagrams involved</t>
  </si>
  <si>
    <t>Student</t>
  </si>
  <si>
    <t>Lecturer</t>
  </si>
  <si>
    <t>Notes</t>
  </si>
  <si>
    <t>Every use case in the diagram has a description, and every description is in the diagram</t>
  </si>
  <si>
    <t>Use case diagram / descriptions</t>
  </si>
  <si>
    <t>All 8 use cases in the diagram have a description in section 3.1.3.</t>
  </si>
  <si>
    <t>Every step of the main flow appears in the activity diagram</t>
  </si>
  <si>
    <t>Descriptions / activity</t>
  </si>
  <si>
    <t>Main flow steps 1-7 of UC01 are in activity 3.2.1; step 4 (verify result) is drawn in activity 3.2.2.</t>
  </si>
  <si>
    <t>Objects and messages in the sequence diagram exist as classes and methods in the class diagram</t>
  </si>
  <si>
    <t>Sequence / class</t>
  </si>
  <si>
    <t>M2 activity methods all exist in M3 sequence files. M3 gaps: Ticket.Cancel() and Transaction.markExpired() are not in the class diagram; sequence 2 has no alert on invalid callback (UC03 E2).</t>
  </si>
  <si>
    <t>State names and transitions match the events in the sequence diagram</t>
  </si>
  <si>
    <t>State chart / sequence</t>
  </si>
  <si>
    <t>State chart sends "QueryStatus still unknown" to Cancelled, but sequence 3 uses MarkPendingReconciliation. M3 to fix.</t>
  </si>
  <si>
    <t>Payment gateway steps match between both activity diagrams and the sequence diagram</t>
  </si>
  <si>
    <t>Activity / sequence</t>
  </si>
  <si>
    <t>Activity 3.2.2 uses the same method names as the M3 sequence files; the alert gap in row 3 still applies.</t>
  </si>
  <si>
    <t>Requirement IDs are cited in the use cases</t>
  </si>
  <si>
    <t>Requirements / use cases</t>
  </si>
  <si>
    <t>Related requirements updated for UC01 to UC08 (section 3.1.3 and this workbook).</t>
  </si>
  <si>
    <t>The class diagram matches the C# code from forward and backward engineering</t>
  </si>
  <si>
    <t>Class / code</t>
  </si>
  <si>
    <t>The UI screens match the steps of the main flow</t>
  </si>
  <si>
    <t>Wireframes / descriptions</t>
  </si>
  <si>
    <t>Screens S01-S08 map 1:1 to UC01 main purchase flow, card/QR payment, ticket printing, and exception handlers</t>
  </si>
  <si>
    <t>The architecture and deployment diagrams show the same components</t>
  </si>
  <si>
    <t>Architecture / deployment</t>
  </si>
  <si>
    <t>Both diagrams represent TVM Kiosk, Display, TicketPrinter, CardReader, Central App Server, SQL Server, and Gateway APIs</t>
  </si>
  <si>
    <t>UML notation is correct (arrows, multiplicities, guards, swim lanes)</t>
  </si>
  <si>
    <t>All diagrams</t>
  </si>
  <si>
    <t>Use case diagram and activity 1 rendered on plantuml.com. Activity 2 render not yet checked against the final file.</t>
  </si>
  <si>
    <t>AI Prompt Log (Task 9)</t>
  </si>
  <si>
    <t>Document each prompt to GitHub Copilot (or a similar tool), how it helped, and how you validated the generated code.</t>
  </si>
  <si>
    <t>No.</t>
  </si>
  <si>
    <t>Date</t>
  </si>
  <si>
    <t>Task / artifact</t>
  </si>
  <si>
    <t>Prompt used</t>
  </si>
  <si>
    <t>How the AI helped (boilerplate / logic / explanation)</t>
  </si>
  <si>
    <t>Output used?</t>
  </si>
  <si>
    <t>How we validated it (tests, code review, run)</t>
  </si>
  <si>
    <t>30/10/2026</t>
  </si>
  <si>
    <t>524H0200</t>
  </si>
  <si>
    <t>ChatGPT/Codex</t>
  </si>
  <si>
    <t>Model and code consistency review</t>
  </si>
  <si>
    <t>Compare the C# skeletons with the TVM class diagrams. Identify incorrect field types, method parameters, missing relationships, and interface implementation mismatches. Suggest corrections without implementing the complete application.</t>
  </si>
  <si>
    <t>Identified incorrect types in Transaction.gatewayRef, PaymentService.CancelPayment, and IPaymentGateway.VerifyCallback, including its adapter implementations.</t>
  </si>
  <si>
    <t>Kept and applied.</t>
  </si>
  <si>
    <t>Compared the corrections with the class diagrams and rebuilt the project successfully.</t>
  </si>
  <si>
    <t>Code-to-model synchronization</t>
  </si>
  <si>
    <t>Suggest three small changes to Transaction, Ticket, and TicketPrinter to demonstrate code-to-model synchronization. Explain how to verify that the added properties and methods appear in Class Designer.</t>
  </si>
  <si>
    <t>Suggested LastFailureReason, IsValid, and HasEnoughPaper to demonstrate code-to-model updates.</t>
  </si>
  <si>
    <t>Kept and adapted.</t>
  </si>
  <si>
    <t>Reviewed the code, built the project, and checked that the new members appeared in Class Designer.</t>
  </si>
  <si>
    <t>29/10/2026</t>
  </si>
  <si>
    <t>Claude</t>
  </si>
  <si>
    <t>Ticket class (FR15, Q15)</t>
  </si>
  <si>
    <t>Compare my class diagram, sequence diagram, state chart and TVM.cs with the requirements and the Q&amp;A. List what is missing from the M3 work.</t>
  </si>
  <si>
    <t>Explanation and review. It listed the gaps. One was a real design gap: Ticket had no mode, origin and destination. The rest was project admin.</t>
  </si>
  <si>
    <t>Changed</t>
  </si>
  <si>
    <t>Read FR15 and Q15 against the Ticket class by hand. TicketPrinter.Print could not print mode, origin and destination, so I added them to the Ticket class, TVM.cs and the table in 3.3.3.</t>
  </si>
  <si>
    <t>TVM.cs, Ticket.GenerateBarcode (FR16, DR4)</t>
  </si>
  <si>
    <t>Fix the barcode generation so that five tickets bought in the same second get different numbers.</t>
  </si>
  <si>
    <t>Logic. New method GenerateBarcode(machineCode, sequence): a time stamp, one sequence digit, a 2-digit machine code and a Luhn check digit. The machine code was added later, so two TVMs cannot make the same number.</t>
  </si>
  <si>
    <t>Copied the logic to Python and made 100,000 numbers for 50 machines. Every number has 16 digits and passes the Luhn check, and the same number only came from the same machine, second and sequence. TVM.cs is not built in Visual Studio yet.</t>
  </si>
  <si>
    <t>Consistency checks 3 and 7 (sequence, class, code)</t>
  </si>
  <si>
    <t>Check by script that every method called in the sequence diagram exists in the class diagram, and every method of the class diagram exists in TVM.cs.</t>
  </si>
  <si>
    <t>Boilerplate: a short regex script over the .puml and .cs files.</t>
  </si>
  <si>
    <t>Kept</t>
  </si>
  <si>
    <t>The script found no missing method in either direction. I ran it again after each change to the class diagram, the last time on 31/10.</t>
  </si>
  <si>
    <t>Class diagram (report 3.3.3, Consistency 3 and 10)</t>
  </si>
  <si>
    <t>My class diagram has about 37 elements, but M3 should have 8 to 12 classes. Cut it down to a main diagram and keep the rest in a second one. Do not break the sequence diagram.</t>
  </si>
  <si>
    <t>Logic and design review. It suggested 12 classes and 1 interface in the main diagram, and moved CardReader, TransactionRepository, AlertService, the 5 adapters and 3 value types to a second diagram.</t>
  </si>
  <si>
    <t>Counted the class, abstract class and interface blocks in class_diagram_1_core.puml: 13. Checked that every class used as a lifeline in the sequence diagrams is in diagram 1 or 2. Kept CardReader, TransactionRepository and AlertService in diagram 2 because the sequence still calls them. Drew both files on plantuml.com.</t>
  </si>
  <si>
    <t>TVM.cs, QRPayment</t>
  </si>
  <si>
    <t>Merge BankQRPayment and WalletPayment into one QRPayment class with a provider attribute. Change TVM.cs to match.</t>
  </si>
  <si>
    <t>Boilerplate. It removed the two subclasses and added a nullable provider (null means a bank QR code).</t>
  </si>
  <si>
    <t>Searched TVM.cs for BankQRPayment and WalletPayment: no hits. Compared with the Class Designer picture from Member 4: only CardPayment and QRPayment with provider are left.</t>
  </si>
  <si>
    <t>Class diagram and TVM.cs after backward engineering (Consistency 7)</t>
  </si>
  <si>
    <t>Member 4 added HasEnoughPaper, IsValid and LastFailureReason in the code. Check that the class diagram and TVM.cs have them and update both.</t>
  </si>
  <si>
    <t>Boilerplate. A short script compared the method names in the .puml files with TVM.cs, found the three missing ones, and then I added them to the diagram, the class table and TVM.cs.</t>
  </si>
  <si>
    <t>Ran the script again: no method is missing. Compared the final diagram with the model picture of Member 4: the same three additions. IsValid and the reason saved in MarkFailed are our own code, because the picture only shows names.</t>
  </si>
  <si>
    <t>31/10/2026</t>
  </si>
  <si>
    <t>Class diagram review (Ticket multiplicity, Expired, PascalCase)</t>
  </si>
  <si>
    <t>Check these review points on the class diagram and the code: Transaction to Ticket should be 0..5, TransactionStatus has no Expired, ticket numbers can repeat between TVMs, method names are camelCase in the diagram but PascalCase in C#, Payment should be a composition. Are they correct?</t>
  </si>
  <si>
    <t>Review. It agreed with all five and said the heartbeat, maintenance and language points are outside UC01.</t>
  </si>
  <si>
    <t>Checked FR19 and Q11 (timed-out and expired transactions) and FR16 (unique number). The Class Designer picture of Member 4 uses PascalCase. Applied the five fixes and ran the method check again.</t>
  </si>
  <si>
    <t>Ticket class (FR18, Q10)</t>
  </si>
  <si>
    <t>Member 1 changed FR18: a refund covers the whole transaction and tickets already printed are cancelled. Change the Ticket class, the code and the class table.</t>
  </si>
  <si>
    <t>Boilerplate. It added isCancelled and Cancel() to Ticket and made IsValid return false for a cancelled ticket.</t>
  </si>
  <si>
    <t>Compared the old and new report to find what changed in FR18 and Q10. Ran the method check again: no method is missing. The sequence diagram and the state chart now show the Cancel() calls. Not built in Visual Studio yet.</t>
  </si>
  <si>
    <t>11</t>
  </si>
  <si>
    <t>Sequence diagram, state chart, architecture diagram (report 3.3.1, 3.3.2, 4.2.1)</t>
  </si>
  <si>
    <t>Write the sequence diagram, the state chart and the architecture diagram in PlantUML. They must match the class diagram, FR18 and the UC01 flow in the report.</t>
  </si>
  <si>
    <t>Logic. It wrote 3 sequence files, 1 state chart and 1 architecture file. Every message uses a method name from the class diagram.</t>
  </si>
  <si>
    <t>Ran the method script on the three sequence files and the state chart: no missing method. Not drawn on PlantUML yet, so the pictures must be checked by eye. Not compared with the final main flow of Member 2 yet.</t>
  </si>
  <si>
    <t>12</t>
  </si>
  <si>
    <t>28/10/2026</t>
  </si>
  <si>
    <t>GitHub Copilot</t>
  </si>
  <si>
    <t>Task 6 / UI/UX Design</t>
  </si>
  <si>
    <t>Generate 10 touch-friendly TVM screens in SVG/WinForms layout (1280x800) with frosted glass aesthetic, bilingual EN/VI support, and WCAG AA contrast for metro ticketing kiosk.</t>
  </si>
  <si>
    <t>Created glassmorphism token structure, color palettes (Navy, Blue, Teal, Success Green, Danger Red), and 64px touch target layouts for screens S01 to S08.</t>
  </si>
  <si>
    <t>Validated with Chrome rendering, contrast checks (&gt;= 4.5:1), and WinForms DPI scaling tests.</t>
  </si>
  <si>
    <t>13</t>
  </si>
  <si>
    <t>Task 7 / Deployment Diagram</t>
  </si>
  <si>
    <t>Write PlantUML deployment diagram for smart ticketing TVM: 3 network boundaries (Station LAN, Operator Network, External Internet) with HTTPS/mTLS and PCI-DSS tokenization.</t>
  </si>
  <si>
    <t>Generated PlantUML script specifying hardware peripherals, mTLS port 443 backend, and webhook callback security.</t>
  </si>
  <si>
    <t>Rendered with Graphviz/PlantUML compiler to PNG, cross-checked against Section 1.1 architecture specification.</t>
  </si>
  <si>
    <t>14</t>
  </si>
  <si>
    <t>Task 10 / Demo C# &amp; MSSQL</t>
  </si>
  <si>
    <t>Implement TicketPrinter.cs to render ESC/POS style thermal paper ticket with 1D Code 128 barcode and Luhn-validated 16-digit TicketNumber in C# WinForms .NET 8.</t>
  </si>
  <si>
    <t>Provided GDI+ Bitmap barcode rendering logic and 16-digit Luhn check digit algorithm (DR4/FR16).</t>
  </si>
  <si>
    <t>Tested barcode generation with 100 sample tickets, validated Luhn verification unit test pass.</t>
  </si>
  <si>
    <t>15</t>
  </si>
  <si>
    <t>Task 10 / Database MSSQL</t>
  </si>
  <si>
    <t>Write idempotent T-SQL setup script for TvmDemo: Station, Fare, Transaction, Payment, Ticket, and Refund tables with seed data for 10 MRT and 2 Feeder Bus stations.</t>
  </si>
  <si>
    <t>Generated complete DDL with foreign keys, check constraints, indexes, and vw_RecentTransactions view.</t>
  </si>
  <si>
    <t>Executed with sqlcmd on both MSSQLLocalDB and SQLEXPRESS instances, verified zero errors and UTF-8 encoding.</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</si>
  <si>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</si>
  <si>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</si>
  <si>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</si>
  <si>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</si>
  <si>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</si>
  <si>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</si>
  <si>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</si>
  <si>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</si>
  <si>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</si>
  <si>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</si>
  <si>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</si>
  <si>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</si>
  <si>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</si>
  <si>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</si>
  <si>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</si>
  <si>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</si>
  <si>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</si>
  <si>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</si>
  <si>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</si>
  <si>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</si>
  <si>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</si>
  <si>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</si>
  <si>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</si>
  <si>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</si>
  <si>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</si>
  <si>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Rejected</t>
  </si>
  <si>
    <t>Used without validation</t>
  </si>
  <si>
    <t>Every AI output you keep or change must have a validation. The red counter shows prompts with a decision but no validation.</t>
  </si>
  <si>
    <t>Commit and Pull Request Log</t>
  </si>
  <si>
    <t>Record the evidence of collaboration each week. Use the Student ID exactly as in the Team sheet.</t>
  </si>
  <si>
    <t>Week</t>
  </si>
  <si>
    <t>Branch</t>
  </si>
  <si>
    <t>Commits</t>
  </si>
  <si>
    <t>Pull requests</t>
  </si>
  <si>
    <t>What was done / link</t>
  </si>
  <si>
    <t>feature/m4-vs-engineering</t>
  </si>
  <si>
    <t>Week 4</t>
  </si>
  <si>
    <t>Week 5</t>
  </si>
  <si>
    <t>Week 6</t>
  </si>
  <si>
    <t>Weekly Progress Log</t>
  </si>
  <si>
    <t>Fill in at the end of each lab week. Adjust the planned work to your own schedule.</t>
  </si>
  <si>
    <t>Checkpoint</t>
  </si>
  <si>
    <t>Planned for this week</t>
  </si>
  <si>
    <t>What we actually did</t>
  </si>
  <si>
    <t>Evidence (commit / PR / screenshot link)</t>
  </si>
  <si>
    <t>Blockers and help needed</t>
  </si>
  <si>
    <t>Status (team)</t>
  </si>
  <si>
    <t>Lecturer feedback</t>
  </si>
  <si>
    <t>Read the assignment, form the team, set up GitHub, start Clarification Q&amp;A</t>
  </si>
  <si>
    <t>Week 2</t>
  </si>
  <si>
    <t>Requirements specification (FR, NFR with metrics, domain)</t>
  </si>
  <si>
    <t>Week 3</t>
  </si>
  <si>
    <t>Use case model and activity diagrams</t>
  </si>
  <si>
    <t>Sequence, state chart, class diagram; wireframes; architecture</t>
  </si>
  <si>
    <t>Forward and backward engineering, Code Map; demo application</t>
  </si>
  <si>
    <t>Finish demo, report, readme.txt, self-marking</t>
  </si>
  <si>
    <t>Checkpoints met</t>
  </si>
  <si>
    <t>Update this sheet at the end of every lab week. A short, honest record earns the process mark; a blank log does not.</t>
  </si>
  <si>
    <t>Marking: Self and Lecturer</t>
  </si>
  <si>
    <t>Enter marks out of each task's Max. Yellow = student self-mark, green = lecturer mark.</t>
  </si>
  <si>
    <t>Max (marks)</t>
  </si>
  <si>
    <t>What to check for full marks</t>
  </si>
  <si>
    <t>Student self-mark</t>
  </si>
  <si>
    <t>Lecturer mark</t>
  </si>
  <si>
    <t>Difference (self − lecturer)</t>
  </si>
  <si>
    <t>Student justification / evidence</t>
  </si>
  <si>
    <t>Lecturer comments</t>
  </si>
  <si>
    <t>Thorough questions uncovering hidden complexity, each with a logical assumed answer and a requirement link.</t>
  </si>
  <si>
    <t>Functional, non-functional and domain requirements with IDs. Strict, measurable reliability and response-time limits.</t>
  </si>
  <si>
    <t>Use Case Modeling</t>
  </si>
  <si>
    <t>Correct use case diagram and a detailed description for every use case.</t>
  </si>
  <si>
    <t>Activity Diagrams</t>
  </si>
  <si>
    <t>Buy-a-ticket flow with failures, and a separate payment gateway integration diagram.</t>
  </si>
  <si>
    <t>Detailed System Modeling: Buy a Ticket</t>
  </si>
  <si>
    <t>Sequence, state chart and class diagram: correct, logical and aligned with each other.</t>
  </si>
  <si>
    <t>UI/UX Design</t>
  </si>
  <si>
    <t>Modern, intuitive wireframes or mockups for the TVM screens.</t>
  </si>
  <si>
    <t>Architectural Design</t>
  </si>
  <si>
    <t>Logical, modular architecture (MVC or system-in-a-box) suited to the hardware; deployment diagram with API context.</t>
  </si>
  <si>
    <t>Hybrid MVC architecture and 3-tier secure deployment diagram detailing peripherals, mTLS HTTPS, and payment gateway webhooks.</t>
  </si>
  <si>
    <t>Visual Studio Engineering</t>
  </si>
  <si>
    <t>Forward engineering, backward engineering and a Code Map, all shown and explained.</t>
  </si>
  <si>
    <t>GitHub &amp; AI Tooling (Copilot)</t>
  </si>
  <si>
    <t>Rich commit history from all members; Copilot prompts documented with validation of the output.</t>
  </si>
  <si>
    <t>Demo Application (C# and MSSQL)</t>
  </si>
  <si>
    <t>Runs smoothly: input form and output report or success screen for the ticket buying flow.</t>
  </si>
  <si>
    <t>Total (/100)</t>
  </si>
  <si>
    <t>A red difference means self-mark and lecturer mark differ by more than 20% of the task's Max: discuss it in the feedback session.</t>
  </si>
  <si>
    <t>Group Summary and Results</t>
  </si>
  <si>
    <t>Results are calculated from the Marking sheet.</t>
  </si>
  <si>
    <t>Weight of this assignment in QT2</t>
  </si>
  <si>
    <t>Marked by / date</t>
  </si>
  <si>
    <t>Group results</t>
  </si>
  <si>
    <t>Measure</t>
  </si>
  <si>
    <t>Student self-marking</t>
  </si>
  <si>
    <t>Difference</t>
  </si>
  <si>
    <t>Contribution to QT2 (points)</t>
  </si>
  <si>
    <t>Bonus point toward the Final Project (lecturer, 0 or 1)</t>
  </si>
  <si>
    <t>Individual marks</t>
  </si>
  <si>
    <t>Lecturer adjustment factor (0.70-1.00, blank = 1)</t>
  </si>
  <si>
    <t>Individual mark (/100)</t>
  </si>
  <si>
    <t>Individual QT2 points</t>
  </si>
  <si>
    <t>The factor is reduced below 1.00 only when the evidence (Git history, pull requests, progress log, individual questions) shows a clearly smaller contribution.</t>
  </si>
  <si>
    <t>Comments</t>
  </si>
  <si>
    <t>Student reflection (optional)</t>
  </si>
  <si>
    <t>Hua Nguyen Thanh Trong</t>
  </si>
  <si>
    <t>main</t>
  </si>
  <si>
    <t>Visual Studio 2026 / Class Designer</t>
  </si>
  <si>
    <t>Report 5.1.1; TVM_Core.cd; src/SmartTicketing</t>
  </si>
  <si>
    <t>Visual Studio 2026 / C#</t>
  </si>
  <si>
    <t>Report 5.1.2; Transaction.cs; Ticket.cs; TicketPrinter.cs; TVM_Core.cd</t>
  </si>
  <si>
    <t>Visual Studio</t>
  </si>
  <si>
    <t>GitHub / Git</t>
  </si>
  <si>
    <t>https://github.com/hnttrong/SmartTicketingSystem-TVM</t>
  </si>
  <si>
    <t>ChatGPT / Codex</t>
  </si>
  <si>
    <t>AI Prompt Log; Report 5.2.2–5.2.3</t>
  </si>
  <si>
    <t>The Five Super Brothers</t>
  </si>
  <si>
    <t>Dang Hieu Minh</t>
  </si>
  <si>
    <t>524H0168</t>
  </si>
  <si>
    <t>Pham Cong Quoc Huy</t>
  </si>
  <si>
    <t>Nguyen Trong Hoang Linh</t>
  </si>
  <si>
    <t>Le Hoang Tri</t>
  </si>
  <si>
    <t>Not completed: Visual Studio Enterprise Code Map was unavailable.</t>
  </si>
  <si>
    <t>Not started</t>
  </si>
  <si>
    <t>Text editor / GitHub</t>
  </si>
  <si>
    <t>readme.txt; README.md</t>
  </si>
  <si>
    <t>524H0168_DangHieuMinh_524H0161_PhamCongQuocHuy_524H0166_NguyenTrongHoangLinh_524H0200_HuaNguyenThanhTrong_524H0199_LeHoangTri.docx</t>
  </si>
  <si>
    <t>Microsoft Word</t>
  </si>
  <si>
    <t>Created the Class Designer model and generated C# skeletons. Demonstrated code-to-model synchronization using LastFailureReason, IsValid, and HasEnoughPaper. The model project built successfully. Code Map was not completed because Visual Studio Enterprise was unavailable.</t>
  </si>
  <si>
    <t>Maintained the GitHub repository, used feature branches and reviewed pull requests, and integrated the submitted work into main. Documented AI-assisted corrections and code-to-model changes with code review, build results, and Class Designer checks.</t>
  </si>
  <si>
    <t>src/TvmDemo/Views/MainForm.cs; src/TvmDemo/Views/TransactionReportForm.cs</t>
  </si>
  <si>
    <t>db/TvmDemo_Setup.sql; README.md (database setup and run instructions)</t>
  </si>
  <si>
    <t>In review</t>
  </si>
  <si>
    <t>Excel / Word</t>
  </si>
  <si>
    <t>Team!E11:E15; readme.txt; contribution table in the final report</t>
  </si>
  <si>
    <t>Class Designer reflects the M4 additions LastFailureReason, IsValid and HasEnoughPaper. Later shared UML changes require a separate comparison with the committed C# skeleton. The projects are not automatically synchronized.</t>
  </si>
  <si>
    <t>Initialized repository. Commit cc34d1e.</t>
  </si>
  <si>
    <t>Class Designer model and C# skeleton. Commit 09c8f34. https://github.com/hnttrong/SmartTicketingSystem-TVM/pull/1</t>
  </si>
  <si>
    <t>feature/m5-ui</t>
  </si>
  <si>
    <t>Uploaded demo, database script, UI assets and deployment diagram; merged main into feature branch. Commits 83fd5ab and f3211d0.</t>
  </si>
  <si>
    <t>feature/m5-ui / main</t>
  </si>
  <si>
    <t>Merged feature/m5-ui. Commit e3c44b1. This is a merge commit, not a pull request.</t>
  </si>
  <si>
    <t>feature/m3-modeling / main</t>
  </si>
  <si>
    <t>20 non-merge commits and 1 merge commit attributed to 524h0166-HoangLinh in main, including UML uploads and file organization. https://github.com/hnttrong/SmartTicketingSystem-TVM/pull/3</t>
  </si>
  <si>
    <t>feature/m4-vs-engineering / main</t>
  </si>
  <si>
    <t>Restored existing implementation via PR #2; merge commit 030636a. Implementation commit 09c8f34 is not counted again. https://github.com/hnttrong/SmartTicketingSystem-TVM/pull/2</t>
  </si>
  <si>
    <t>Updated shared README with modeling, Class Designer, SQL setup, demo instructions and limitations. Commit 81fa922.</t>
  </si>
  <si>
    <t>feature/m2-use-case-activity</t>
  </si>
  <si>
    <t>Uploaded use case and activity diagram sources and images. Commits 0e5fabe, 1c250ff, 62ea16e, 49d4097. PR count requires verification at submission.</t>
  </si>
  <si>
    <t>Reviewed assignment, allocated responsibilities among five members and prepared clarification questions. Repository setup is evidenced on 29/10/2026.</t>
  </si>
  <si>
    <t>Team sheet; Clarification Q&amp;A sheet; commit cc34d1e.</t>
  </si>
  <si>
    <t>Work recorded by deliverable stage; original weekly completion dates were not independently verified.</t>
  </si>
  <si>
    <t>Prepared 25 functional, 12 non-functional and 8 domain requirements, including measurable reliability and response-time criteria.</t>
  </si>
  <si>
    <t>Requirements sheet; report section 2.2.</t>
  </si>
  <si>
    <t>Final requirement wording remains subject to report integration.</t>
  </si>
  <si>
    <t>Prepared eight use case descriptions and use case and activity diagrams. M2 uploaded four commits to its feature branch on 31/10/2026.</t>
  </si>
  <si>
    <t>Use Cases sheet; report sections 3.1 and 3.2; feature/m2-use-case-activity (49d4097).</t>
  </si>
  <si>
    <t>Verify PR and merge status for the M2 branch before submission.</t>
  </si>
  <si>
    <t>Prepared sequence, state chart and class diagrams, UI mockups, and architecture and deployment diagrams. Integrated M3 diagrams through PR #3.</t>
  </si>
  <si>
    <t>diagrams/m3/; diagrams/architecture_diagram.puml; diagrams/deployment_diagram.puml; ui/; PR #3.</t>
  </si>
  <si>
    <t>Resolve remaining Partly findings in the Consistency Check sheet; completion does not imply all findings are closed.</t>
  </si>
  <si>
    <t>Created and built the Class Designer skeleton; added LastFailureReason, IsValid and HasEnoughPaper. Ran the WinForms/SQL Server demo with successful, declined and timed-out payments and viewed the database report.</t>
  </si>
  <si>
    <t>Commit 09c8f34; PR #2; src/SmartTicketing/; src/TvmDemo.sln; db/TvmDemo_Setup.sql; demonstration screenshots.</t>
  </si>
  <si>
    <t>Code Map unavailable without Enterprise. Payment and printer hardware are simulated.</t>
  </si>
  <si>
    <t>Integrated submitted M3, M4 and M5 work into main, updated README, and completed workbook administrative fields and evidence references.</t>
  </si>
  <si>
    <t>PR #2; PR #3; README commit 81fa922; Team, Commit Log and Marking sheets.</t>
  </si>
  <si>
    <t>M1 must confirm the final report file, submission package, and remaining self-marks.</t>
  </si>
  <si>
    <t>Prepared 25 clarification questions with assumed answers, design impacts and requirement links across fares, payment, failures, hardware, security and accessibility.</t>
  </si>
  <si>
    <t>Documented 25 functional, 12 non-functional and 8 domain requirements. Non-functional requirements include measurable response-time and reliability criteria.</t>
  </si>
  <si>
    <t>Prepared a use case diagram and descriptions of eight use cases. Sources and images are uploaded to the M2 feature branch; final integration requires verification.</t>
  </si>
  <si>
    <t>Prepared activity diagrams for ticket purchase and payment gateway integration, including cancellation, payment failure, timeout and printing failure paths.</t>
  </si>
  <si>
    <t>Prepared three sequence diagrams, a state chart and core/supporting class diagrams. Remaining alignment findings are documented in Consistency Check.</t>
  </si>
  <si>
    <t>Prepared TVM screen mockups with Vietnamese/English options, large text and high contrast designs. Evidence: ui/ and the Figma link. Accessibility compliance requires separate verification.</t>
  </si>
  <si>
    <t>Demonstrated the WinForms and SQL Server purchase flow, successful/declined/timed-out payment outcomes, ticket preview and joined database report. Gateway and printer hardware are simulated.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</si>
</sst>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0.0"/>
  </numFmts>
  <fonts count="13" x14ac:knownFonts="1">
    <font>
      <sz val="11"/>
      <color theme="1"/>
      <name val="Calibri"/>
      <family val="2"/>
      <charset val="1"/>
    </font>
    <font>
      <b/>
      <sz val="15"/>
      <color rgb="FF1F3A5F"/>
      <name val="Arial"/>
      <charset val="1"/>
    </font>
    <font>
      <i/>
      <sz val="10"/>
      <color rgb="FF595959"/>
      <name val="Arial"/>
      <charset val="1"/>
    </font>
    <font>
      <b/>
      <sz val="12"/>
      <color rgb="FF1F3A5F"/>
      <name val="Arial"/>
      <charset val="1"/>
    </font>
    <font>
      <sz val="10"/>
      <color rgb="FF000000"/>
      <name val="Arial"/>
      <charset val="1"/>
    </font>
    <font>
      <sz val="10"/>
      <color rgb="FF0000FF"/>
      <name val="Arial"/>
      <charset val="1"/>
    </font>
    <font>
      <b/>
      <sz val="10"/>
      <color rgb="FFFFFFFF"/>
      <name val="Arial"/>
      <charset val="1"/>
    </font>
    <font>
      <b/>
      <sz val="10"/>
      <color rgb="FF000000"/>
      <name val="Arial"/>
      <charset val="1"/>
    </font>
    <font>
      <i/>
      <sz val="9"/>
      <color rgb="FF595959"/>
      <name val="Arial"/>
      <charset val="1"/>
    </font>
    <font>
      <sz val="10"/>
      <color rgb="FF0000FF"/>
      <name val="Arial"/>
      <family val="2"/>
      <charset val="1"/>
    </font>
    <font>
      <sz val="8"/>
      <name val="Calibri"/>
      <family val="2"/>
      <charset val="1"/>
    </font>
    <font>
      <u/>
      <sz val="11"/>
      <color theme="10"/>
      <name val="Calibri"/>
      <family val="2"/>
      <charset val="1"/>
    </font>
    <font>
      <sz val="10"/>
      <color rgb="FF0000FF"/>
      <name val="Arial"/>
      <family val="2"/>
    </font>
  </fonts>
  <fills count="8">
    <fill>
      <patternFill patternType="none"/>
    </fill>
    <fill>
      <patternFill patternType="gray125"/>
    </fill>
    <fill>
      <patternFill patternType="solid">
        <fgColor rgb="FFFFF4CC"/>
        <bgColor rgb="FFFDE2E2"/>
      </patternFill>
    </fill>
    <fill>
      <patternFill patternType="solid">
        <fgColor rgb="FFDDF0DF"/>
        <bgColor rgb="FFC6EFCE"/>
      </patternFill>
    </fill>
    <fill>
      <patternFill patternType="solid">
        <fgColor rgb="FF1F3A5F"/>
        <bgColor rgb="FF333333"/>
      </patternFill>
    </fill>
    <fill>
      <patternFill patternType="solid">
        <fgColor rgb="FFF2F5FA"/>
        <bgColor rgb="FFFFFFFF"/>
      </patternFill>
    </fill>
    <fill>
      <patternFill patternType="solid">
        <fgColor rgb="FFB45F06"/>
        <bgColor rgb="FF9C5700"/>
      </patternFill>
    </fill>
    <fill>
      <patternFill patternType="solid">
        <fgColor rgb="FF2E7D32"/>
        <bgColor rgb="FF008080"/>
      </patternFill>
    </fill>
  </fills>
  <borders count="4">
    <border>
      <left/>
      <right/>
      <top/>
      <bottom/>
      <diagonal/>
    </border>
    <border>
      <left style="thin">
        <color rgb="FFB7C3D3"/>
      </left>
      <right style="thin">
        <color rgb="FFB7C3D3"/>
      </right>
      <top style="thin">
        <color rgb="FFB7C3D3"/>
      </top>
      <bottom style="thin">
        <color rgb="FFB7C3D3"/>
      </bottom>
      <diagonal/>
    </border>
    <border>
      <left/>
      <right style="thin">
        <color rgb="FFB7C3D3"/>
      </right>
      <top style="thin">
        <color rgb="FFB7C3D3"/>
      </top>
      <bottom style="thin">
        <color rgb="FFB7C3D3"/>
      </bottom>
      <diagonal/>
    </border>
    <border>
      <left/>
      <right/>
      <top style="thin">
        <color rgb="FFB7C3D3"/>
      </top>
      <bottom style="thin">
        <color rgb="FFB7C3D3"/>
      </bottom>
      <diagonal/>
    </border>
  </borders>
  <cellStyleXfs count="2">
    <xf numFmtId="0" fontId="0" fillId="0" borderId="0"/>
    <xf numFmtId="0" fontId="11" fillId="0" borderId="0" applyNumberFormat="0" applyFill="0" applyBorder="0" applyAlignment="0" applyProtection="0"/>
  </cellStyleXfs>
  <cellXfs count="46">
    <xf numFmtId="0" fontId="0" fillId="0" borderId="0" xfId="0"/>
    <xf numFmtId="0" fontId="1" fillId="0" borderId="0" xfId="0" applyFont="1"/>
    <xf numFmtId="0" fontId="2" fillId="0" borderId="0" xfId="0" applyFont="1"/>
    <xf numFmtId="0" fontId="3" fillId="0" borderId="0" xfId="0" applyFont="1"/>
    <xf numFmtId="0" fontId="5" fillId="2" borderId="1" xfId="0" applyFont="1" applyFill="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vertical="top" wrapText="1"/>
    </xf>
    <xf numFmtId="0" fontId="6" fillId="4" borderId="1" xfId="0" applyFont="1" applyFill="1" applyBorder="1" applyAlignment="1">
      <alignment horizontal="center" vertical="center" wrapText="1"/>
    </xf>
    <xf numFmtId="0" fontId="7" fillId="0" borderId="1" xfId="0" applyFont="1" applyBorder="1" applyAlignment="1">
      <alignment vertical="top" wrapText="1"/>
    </xf>
    <xf numFmtId="0" fontId="7" fillId="5" borderId="1" xfId="0" applyFont="1" applyFill="1" applyBorder="1" applyAlignment="1">
      <alignment vertical="top" wrapText="1"/>
    </xf>
    <xf numFmtId="0" fontId="4" fillId="0" borderId="1" xfId="0" applyFont="1" applyBorder="1" applyAlignment="1">
      <alignment horizontal="center" vertical="center" wrapText="1"/>
    </xf>
    <xf numFmtId="0" fontId="6" fillId="6" borderId="1" xfId="0" applyFont="1" applyFill="1" applyBorder="1" applyAlignment="1">
      <alignment horizontal="center" vertical="center" wrapText="1"/>
    </xf>
    <xf numFmtId="9" fontId="5" fillId="2" borderId="1" xfId="0" applyNumberFormat="1" applyFont="1" applyFill="1" applyBorder="1" applyAlignment="1">
      <alignment horizontal="center" vertical="center" wrapText="1"/>
    </xf>
    <xf numFmtId="9" fontId="7" fillId="5" borderId="1" xfId="0" applyNumberFormat="1" applyFont="1" applyFill="1" applyBorder="1" applyAlignment="1">
      <alignment horizontal="center" vertical="center" wrapText="1"/>
    </xf>
    <xf numFmtId="0" fontId="8" fillId="0" borderId="0" xfId="0" applyFont="1"/>
    <xf numFmtId="0" fontId="6" fillId="7"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1" fontId="4" fillId="0" borderId="1" xfId="0" applyNumberFormat="1" applyFont="1" applyBorder="1" applyAlignment="1">
      <alignment horizontal="center" vertical="center" wrapText="1"/>
    </xf>
    <xf numFmtId="0" fontId="7" fillId="0" borderId="1" xfId="0" applyFont="1" applyBorder="1" applyAlignment="1">
      <alignment horizontal="center" vertical="center" wrapText="1"/>
    </xf>
    <xf numFmtId="9" fontId="4" fillId="0" borderId="1" xfId="0" applyNumberFormat="1" applyFont="1" applyBorder="1" applyAlignment="1">
      <alignment horizontal="center" vertical="center" wrapText="1"/>
    </xf>
    <xf numFmtId="0" fontId="5" fillId="2"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0" borderId="1" xfId="0" applyFont="1" applyBorder="1" applyAlignment="1">
      <alignment vertical="top" wrapText="1"/>
    </xf>
    <xf numFmtId="0" fontId="9" fillId="2" borderId="1" xfId="0" applyFont="1" applyFill="1" applyBorder="1" applyAlignment="1">
      <alignment vertical="top" wrapText="1"/>
    </xf>
    <xf numFmtId="164" fontId="5" fillId="2" borderId="1" xfId="0" applyNumberFormat="1" applyFont="1" applyFill="1" applyBorder="1" applyAlignment="1">
      <alignment horizontal="center" vertical="center" wrapText="1"/>
    </xf>
    <xf numFmtId="164" fontId="5" fillId="3" borderId="1" xfId="0" applyNumberFormat="1" applyFont="1" applyFill="1" applyBorder="1" applyAlignment="1">
      <alignment horizontal="center" vertical="center" wrapText="1"/>
    </xf>
    <xf numFmtId="165" fontId="4" fillId="0" borderId="1" xfId="0" applyNumberFormat="1" applyFont="1" applyBorder="1" applyAlignment="1">
      <alignment horizontal="center" vertical="center" wrapText="1"/>
    </xf>
    <xf numFmtId="0" fontId="4" fillId="5" borderId="1" xfId="0" applyFont="1" applyFill="1" applyBorder="1" applyAlignment="1">
      <alignment vertical="top" wrapText="1"/>
    </xf>
    <xf numFmtId="164" fontId="7" fillId="5" borderId="1" xfId="0" applyNumberFormat="1" applyFont="1" applyFill="1" applyBorder="1" applyAlignment="1">
      <alignment horizontal="center" vertical="center" wrapText="1"/>
    </xf>
    <xf numFmtId="165" fontId="7" fillId="5" borderId="1" xfId="0" applyNumberFormat="1" applyFont="1" applyFill="1" applyBorder="1" applyAlignment="1">
      <alignment horizontal="center" vertical="center" wrapText="1"/>
    </xf>
    <xf numFmtId="9" fontId="5"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2" fontId="5" fillId="3" borderId="1" xfId="0" applyNumberFormat="1" applyFont="1" applyFill="1" applyBorder="1" applyAlignment="1">
      <alignment horizontal="center" vertical="center" wrapText="1"/>
    </xf>
    <xf numFmtId="2" fontId="7" fillId="0" borderId="1" xfId="0" applyNumberFormat="1" applyFont="1" applyBorder="1" applyAlignment="1">
      <alignment horizontal="center" vertical="center" wrapText="1"/>
    </xf>
    <xf numFmtId="2" fontId="4" fillId="0" borderId="1" xfId="0" applyNumberFormat="1" applyFont="1" applyBorder="1" applyAlignment="1">
      <alignment horizontal="center" vertical="center" wrapText="1"/>
    </xf>
    <xf numFmtId="0" fontId="12" fillId="2" borderId="1" xfId="0" applyFont="1" applyFill="1" applyBorder="1" applyAlignment="1">
      <alignment vertical="top" wrapText="1"/>
    </xf>
    <xf numFmtId="0" fontId="12" fillId="0" borderId="1" xfId="0" applyFont="1" applyBorder="1" applyAlignment="1">
      <alignment vertical="top" wrapText="1"/>
    </xf>
    <xf numFmtId="0" fontId="4" fillId="0" borderId="0" xfId="0" applyFont="1" applyAlignment="1">
      <alignment vertical="top" wrapText="1"/>
    </xf>
    <xf numFmtId="0" fontId="0" fillId="0" borderId="0" xfId="0"/>
    <xf numFmtId="0" fontId="5" fillId="2" borderId="1" xfId="0" applyFont="1" applyFill="1" applyBorder="1" applyAlignment="1">
      <alignment vertical="top" wrapText="1"/>
    </xf>
    <xf numFmtId="0" fontId="0" fillId="0" borderId="2" xfId="0" applyBorder="1"/>
    <xf numFmtId="0" fontId="4" fillId="0" borderId="1" xfId="0" applyFont="1" applyBorder="1" applyAlignment="1">
      <alignment horizontal="center" vertical="center" wrapText="1"/>
    </xf>
    <xf numFmtId="0" fontId="0" fillId="0" borderId="3" xfId="0" applyBorder="1"/>
    <xf numFmtId="0" fontId="11" fillId="2" borderId="1" xfId="1" applyFill="1" applyBorder="1" applyAlignment="1">
      <alignment vertical="top" wrapText="1"/>
    </xf>
    <xf numFmtId="0" fontId="4" fillId="0" borderId="1" xfId="0" applyFont="1" applyBorder="1" applyAlignment="1">
      <alignment vertical="top" wrapText="1"/>
    </xf>
    <xf numFmtId="0" fontId="5" fillId="3" borderId="1" xfId="0" applyFont="1" applyFill="1" applyBorder="1" applyAlignment="1">
      <alignment vertical="top" wrapText="1"/>
    </xf>
  </cellXfs>
  <cellStyles count="2">
    <cellStyle name="Hyperlink" xfId="1" builtinId="8"/>
    <cellStyle name="Normal" xfId="0" builtinId="0"/>
  </cellStyles>
  <dxfs count="10">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FC7CE"/>
        </patternFill>
      </fill>
    </dxf>
    <dxf>
      <font>
        <b/>
        <color rgb="FF9C5700"/>
        <name val="Arial"/>
        <charset val="1"/>
      </font>
      <fill>
        <patternFill>
          <bgColor rgb="FFFFEB9C"/>
        </patternFill>
      </fill>
    </dxf>
    <dxf>
      <font>
        <b/>
        <color rgb="FF006100"/>
        <name val="Arial"/>
        <charset val="1"/>
      </font>
      <fill>
        <patternFill>
          <bgColor rgb="FFC6EFCE"/>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
      <font>
        <b/>
        <color rgb="FF9C0006"/>
        <name val="Arial"/>
        <charset val="1"/>
      </font>
      <fill>
        <patternFill>
          <bgColor rgb="FFFDE2E2"/>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B45F06"/>
      <rgbColor rgb="FF800080"/>
      <rgbColor rgb="FF008080"/>
      <rgbColor rgb="FFB7C3D3"/>
      <rgbColor rgb="FF808080"/>
      <rgbColor rgb="FF9999FF"/>
      <rgbColor rgb="FF993366"/>
      <rgbColor rgb="FFFFF4CC"/>
      <rgbColor rgb="FFDDF0DF"/>
      <rgbColor rgb="FF660066"/>
      <rgbColor rgb="FFFF8080"/>
      <rgbColor rgb="FF0066CC"/>
      <rgbColor rgb="FFFDE2E2"/>
      <rgbColor rgb="FF000080"/>
      <rgbColor rgb="FFFF00FF"/>
      <rgbColor rgb="FFFFFF00"/>
      <rgbColor rgb="FF00FFFF"/>
      <rgbColor rgb="FF800080"/>
      <rgbColor rgb="FF800000"/>
      <rgbColor rgb="FF008080"/>
      <rgbColor rgb="FF0000FF"/>
      <rgbColor rgb="FF00CCFF"/>
      <rgbColor rgb="FFF2F5FA"/>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A5F"/>
      <rgbColor rgb="FF2E7D32"/>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github.com/hnttrong/SmartTicketingSystem-TV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30"/>
  <sheetViews>
    <sheetView showGridLines="0" zoomScaleNormal="100" workbookViewId="0">
      <selection activeCell="A11" sqref="A11:D11"/>
    </sheetView>
  </sheetViews>
  <sheetFormatPr defaultColWidth="8.7109375" defaultRowHeight="15" x14ac:dyDescent="0.25"/>
  <cols>
    <col min="1" max="1" width="30" customWidth="1"/>
    <col min="2" max="2" width="40" customWidth="1"/>
    <col min="3" max="3" width="52" customWidth="1"/>
    <col min="4" max="4" width="28" customWidth="1"/>
  </cols>
  <sheetData>
    <row r="1" spans="1:4" ht="19.5" customHeight="1" x14ac:dyDescent="0.3">
      <c r="A1" s="1" t="s">
        <v>0</v>
      </c>
    </row>
    <row r="2" spans="1:4" ht="15" customHeight="1" x14ac:dyDescent="0.25">
      <c r="A2" s="2" t="s">
        <v>1</v>
      </c>
    </row>
    <row r="4" spans="1:4" ht="15.75" customHeight="1" x14ac:dyDescent="0.25">
      <c r="A4" s="3" t="s">
        <v>2</v>
      </c>
    </row>
    <row r="5" spans="1:4" ht="63.75" customHeight="1" x14ac:dyDescent="0.25">
      <c r="A5" s="37" t="s">
        <v>3</v>
      </c>
      <c r="B5" s="38"/>
      <c r="C5" s="38"/>
      <c r="D5" s="38"/>
    </row>
    <row r="7" spans="1:4" ht="15.75" customHeight="1" x14ac:dyDescent="0.25">
      <c r="A7" s="3" t="s">
        <v>4</v>
      </c>
    </row>
    <row r="8" spans="1:4" ht="31.5" customHeight="1" x14ac:dyDescent="0.25">
      <c r="A8" s="37" t="s">
        <v>5</v>
      </c>
      <c r="B8" s="38"/>
      <c r="C8" s="38"/>
      <c r="D8" s="38"/>
    </row>
    <row r="9" spans="1:4" ht="31.5" customHeight="1" x14ac:dyDescent="0.25">
      <c r="A9" s="37" t="s">
        <v>6</v>
      </c>
      <c r="B9" s="38"/>
      <c r="C9" s="38"/>
      <c r="D9" s="38"/>
    </row>
    <row r="10" spans="1:4" ht="31.5" customHeight="1" x14ac:dyDescent="0.25">
      <c r="A10" s="37" t="s">
        <v>7</v>
      </c>
      <c r="B10" s="38"/>
      <c r="C10" s="38"/>
      <c r="D10" s="38"/>
    </row>
    <row r="11" spans="1:4" ht="31.5" customHeight="1" x14ac:dyDescent="0.25">
      <c r="A11" s="37" t="s">
        <v>8</v>
      </c>
      <c r="B11" s="38"/>
      <c r="C11" s="38"/>
      <c r="D11" s="38"/>
    </row>
    <row r="13" spans="1:4" ht="15.75" customHeight="1" x14ac:dyDescent="0.25">
      <c r="A13" s="3" t="s">
        <v>9</v>
      </c>
    </row>
    <row r="14" spans="1:4" ht="15" customHeight="1" x14ac:dyDescent="0.25">
      <c r="A14" s="4" t="s">
        <v>10</v>
      </c>
      <c r="B14" s="5" t="s">
        <v>11</v>
      </c>
    </row>
    <row r="15" spans="1:4" ht="15" customHeight="1" x14ac:dyDescent="0.25">
      <c r="A15" s="6" t="s">
        <v>12</v>
      </c>
      <c r="B15" s="5" t="s">
        <v>13</v>
      </c>
    </row>
    <row r="16" spans="1:4" ht="15" customHeight="1" x14ac:dyDescent="0.25">
      <c r="A16" s="5" t="s">
        <v>14</v>
      </c>
      <c r="B16" s="5" t="s">
        <v>15</v>
      </c>
    </row>
    <row r="18" spans="1:4" ht="15.75" customHeight="1" x14ac:dyDescent="0.25">
      <c r="A18" s="3" t="s">
        <v>16</v>
      </c>
    </row>
    <row r="19" spans="1:4" ht="15" customHeight="1" x14ac:dyDescent="0.25">
      <c r="A19" s="7" t="s">
        <v>17</v>
      </c>
      <c r="B19" s="7" t="s">
        <v>18</v>
      </c>
      <c r="C19" s="7" t="s">
        <v>19</v>
      </c>
      <c r="D19" s="7" t="s">
        <v>20</v>
      </c>
    </row>
    <row r="20" spans="1:4" ht="31.5" customHeight="1" x14ac:dyDescent="0.25">
      <c r="A20" s="8" t="s">
        <v>21</v>
      </c>
      <c r="B20" s="5" t="s">
        <v>22</v>
      </c>
      <c r="C20" s="5" t="s">
        <v>23</v>
      </c>
      <c r="D20" s="5" t="s">
        <v>24</v>
      </c>
    </row>
    <row r="21" spans="1:4" ht="31.5" customHeight="1" x14ac:dyDescent="0.25">
      <c r="A21" s="8" t="s">
        <v>25</v>
      </c>
      <c r="B21" s="5" t="s">
        <v>26</v>
      </c>
      <c r="C21" s="5" t="s">
        <v>27</v>
      </c>
      <c r="D21" s="5" t="s">
        <v>28</v>
      </c>
    </row>
    <row r="22" spans="1:4" ht="31.5" customHeight="1" x14ac:dyDescent="0.25">
      <c r="A22" s="8" t="s">
        <v>29</v>
      </c>
      <c r="B22" s="5" t="s">
        <v>30</v>
      </c>
      <c r="C22" s="5" t="s">
        <v>31</v>
      </c>
      <c r="D22" s="5" t="s">
        <v>32</v>
      </c>
    </row>
    <row r="23" spans="1:4" ht="31.5" customHeight="1" x14ac:dyDescent="0.25">
      <c r="A23" s="8" t="s">
        <v>33</v>
      </c>
      <c r="B23" s="5" t="s">
        <v>34</v>
      </c>
      <c r="C23" s="5" t="s">
        <v>35</v>
      </c>
      <c r="D23" s="5" t="s">
        <v>36</v>
      </c>
    </row>
    <row r="24" spans="1:4" ht="31.5" customHeight="1" x14ac:dyDescent="0.25">
      <c r="A24" s="8" t="s">
        <v>37</v>
      </c>
      <c r="B24" s="5" t="s">
        <v>38</v>
      </c>
      <c r="C24" s="5" t="s">
        <v>39</v>
      </c>
      <c r="D24" s="5" t="s">
        <v>40</v>
      </c>
    </row>
    <row r="25" spans="1:4" ht="31.5" customHeight="1" x14ac:dyDescent="0.25">
      <c r="A25" s="8" t="s">
        <v>41</v>
      </c>
      <c r="B25" s="5" t="s">
        <v>42</v>
      </c>
      <c r="C25" s="5" t="s">
        <v>43</v>
      </c>
      <c r="D25" s="5" t="s">
        <v>44</v>
      </c>
    </row>
    <row r="26" spans="1:4" ht="31.5" customHeight="1" x14ac:dyDescent="0.25">
      <c r="A26" s="8" t="s">
        <v>45</v>
      </c>
      <c r="B26" s="5" t="s">
        <v>46</v>
      </c>
      <c r="C26" s="5" t="s">
        <v>47</v>
      </c>
      <c r="D26" s="5" t="s">
        <v>40</v>
      </c>
    </row>
    <row r="27" spans="1:4" ht="31.5" customHeight="1" x14ac:dyDescent="0.25">
      <c r="A27" s="8" t="s">
        <v>48</v>
      </c>
      <c r="B27" s="5" t="s">
        <v>49</v>
      </c>
      <c r="C27" s="5" t="s">
        <v>50</v>
      </c>
      <c r="D27" s="5" t="s">
        <v>51</v>
      </c>
    </row>
    <row r="28" spans="1:4" ht="31.5" customHeight="1" x14ac:dyDescent="0.25">
      <c r="A28" s="8" t="s">
        <v>52</v>
      </c>
      <c r="B28" s="5" t="s">
        <v>53</v>
      </c>
      <c r="C28" s="5" t="s">
        <v>54</v>
      </c>
      <c r="D28" s="5" t="s">
        <v>51</v>
      </c>
    </row>
    <row r="29" spans="1:4" ht="31.5" customHeight="1" x14ac:dyDescent="0.25">
      <c r="A29" s="8" t="s">
        <v>55</v>
      </c>
      <c r="B29" s="5" t="s">
        <v>56</v>
      </c>
      <c r="C29" s="5" t="s">
        <v>57</v>
      </c>
      <c r="D29" s="5" t="s">
        <v>58</v>
      </c>
    </row>
    <row r="30" spans="1:4" ht="31.5" customHeight="1" x14ac:dyDescent="0.25">
      <c r="A30" s="8" t="s">
        <v>59</v>
      </c>
      <c r="B30" s="5" t="s">
        <v>60</v>
      </c>
      <c r="C30" s="5" t="s">
        <v>57</v>
      </c>
      <c r="D30" s="5" t="s">
        <v>58</v>
      </c>
    </row>
  </sheetData>
  <mergeCells count="5">
    <mergeCell ref="A5:D5"/>
    <mergeCell ref="A9:D9"/>
    <mergeCell ref="A8:D8"/>
    <mergeCell ref="A11:D11"/>
    <mergeCell ref="A10:D10"/>
  </mergeCells>
  <pageMargins left="0.75" right="0.75" top="1" bottom="1" header="0.511811023622047" footer="0.511811023622047"/>
  <pageSetup fitToHeight="0"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19"/>
  <sheetViews>
    <sheetView showGridLines="0" tabSelected="1" zoomScaleNormal="100" workbookViewId="0">
      <selection activeCell="B4" sqref="B4:C4"/>
    </sheetView>
  </sheetViews>
  <sheetFormatPr defaultColWidth="8.7109375" defaultRowHeight="15" x14ac:dyDescent="0.25"/>
  <cols>
    <col min="1" max="1" width="12" customWidth="1"/>
    <col min="2" max="2" width="26" customWidth="1"/>
    <col min="3" max="3" width="16" customWidth="1"/>
    <col min="4" max="4" width="30" customWidth="1"/>
    <col min="5" max="5" width="16" customWidth="1"/>
    <col min="6" max="6" width="14" customWidth="1"/>
    <col min="7" max="7" width="26" customWidth="1"/>
  </cols>
  <sheetData>
    <row r="1" spans="1:7" ht="19.5" customHeight="1" x14ac:dyDescent="0.3">
      <c r="A1" s="1" t="s">
        <v>61</v>
      </c>
    </row>
    <row r="2" spans="1:7" ht="15" customHeight="1" x14ac:dyDescent="0.25">
      <c r="A2" s="2" t="s">
        <v>62</v>
      </c>
    </row>
    <row r="4" spans="1:7" ht="25.5" customHeight="1" x14ac:dyDescent="0.25">
      <c r="A4" s="9" t="s">
        <v>63</v>
      </c>
      <c r="B4" s="39" t="s">
        <v>748</v>
      </c>
      <c r="C4" s="40"/>
    </row>
    <row r="5" spans="1:7" ht="15" customHeight="1" x14ac:dyDescent="0.25">
      <c r="A5" s="9" t="s">
        <v>64</v>
      </c>
      <c r="B5" s="43" t="s">
        <v>745</v>
      </c>
      <c r="C5" s="42"/>
      <c r="D5" s="40"/>
    </row>
    <row r="6" spans="1:7" ht="15" customHeight="1" x14ac:dyDescent="0.25">
      <c r="A6" s="9" t="s">
        <v>65</v>
      </c>
      <c r="B6" s="10">
        <f>COUNTA(C11:C15)</f>
        <v>5</v>
      </c>
    </row>
    <row r="7" spans="1:7" ht="15" customHeight="1" x14ac:dyDescent="0.25">
      <c r="A7" s="9" t="s">
        <v>66</v>
      </c>
      <c r="B7" s="41" t="str">
        <f>IF(AND(B6&gt;=3,B6&lt;=5),"OK","Group must have 3 to 5 students")</f>
        <v>OK</v>
      </c>
      <c r="C7" s="42"/>
      <c r="D7" s="40"/>
    </row>
    <row r="9" spans="1:7" ht="15.75" customHeight="1" x14ac:dyDescent="0.25">
      <c r="A9" s="3" t="s">
        <v>67</v>
      </c>
    </row>
    <row r="10" spans="1:7" ht="39.75" customHeight="1" x14ac:dyDescent="0.25">
      <c r="A10" s="7" t="s">
        <v>68</v>
      </c>
      <c r="B10" s="11" t="s">
        <v>69</v>
      </c>
      <c r="C10" s="11" t="s">
        <v>70</v>
      </c>
      <c r="D10" s="11" t="s">
        <v>71</v>
      </c>
      <c r="E10" s="11" t="s">
        <v>72</v>
      </c>
      <c r="F10" s="7" t="s">
        <v>73</v>
      </c>
      <c r="G10" s="7" t="s">
        <v>74</v>
      </c>
    </row>
    <row r="11" spans="1:7" ht="39.75" customHeight="1" x14ac:dyDescent="0.25">
      <c r="A11" s="9" t="s">
        <v>75</v>
      </c>
      <c r="B11" s="4" t="s">
        <v>749</v>
      </c>
      <c r="C11" s="4" t="s">
        <v>750</v>
      </c>
      <c r="D11" s="4" t="s">
        <v>76</v>
      </c>
      <c r="E11" s="12">
        <v>0.2</v>
      </c>
      <c r="F11" s="10">
        <f>IF(C11="","",SUMIF('Commit Log'!$C$5:$C$64,C11,'Commit Log'!$E$5:$E$64))</f>
        <v>0</v>
      </c>
      <c r="G11" s="10" t="str">
        <f>IF(C11="","",IF(AND(ISNUMBER(F11),F11&gt;0),"OK","No commits yet"))</f>
        <v>No commits yet</v>
      </c>
    </row>
    <row r="12" spans="1:7" ht="39.75" customHeight="1" x14ac:dyDescent="0.25">
      <c r="A12" s="9" t="s">
        <v>77</v>
      </c>
      <c r="B12" s="4" t="s">
        <v>751</v>
      </c>
      <c r="C12" s="4" t="s">
        <v>78</v>
      </c>
      <c r="D12" s="4" t="s">
        <v>79</v>
      </c>
      <c r="E12" s="12">
        <v>0.2</v>
      </c>
      <c r="F12" s="10">
        <f>IF(C12="","",SUMIF('Commit Log'!$C$5:$C$64,C12,'Commit Log'!$E$5:$E$64))</f>
        <v>4</v>
      </c>
      <c r="G12" s="10" t="str">
        <f>IF(C12="","",IF(AND(ISNUMBER(F12),F12&gt;0),"OK","No commits yet"))</f>
        <v>OK</v>
      </c>
    </row>
    <row r="13" spans="1:7" ht="39.75" customHeight="1" x14ac:dyDescent="0.25">
      <c r="A13" s="9" t="s">
        <v>80</v>
      </c>
      <c r="B13" s="4" t="s">
        <v>752</v>
      </c>
      <c r="C13" s="4" t="s">
        <v>472</v>
      </c>
      <c r="D13" s="4" t="s">
        <v>81</v>
      </c>
      <c r="E13" s="12">
        <v>0.2</v>
      </c>
      <c r="F13" s="10">
        <f>IF(C13="","",SUMIF('Commit Log'!$C$5:$C$64,C13,'Commit Log'!$E$5:$E$64))</f>
        <v>21</v>
      </c>
      <c r="G13" s="10" t="str">
        <f>IF(C13="","",IF(AND(ISNUMBER(F13),F13&gt;0),"OK","No commits yet"))</f>
        <v>OK</v>
      </c>
    </row>
    <row r="14" spans="1:7" ht="39.75" customHeight="1" x14ac:dyDescent="0.25">
      <c r="A14" s="9" t="s">
        <v>82</v>
      </c>
      <c r="B14" s="4" t="s">
        <v>737</v>
      </c>
      <c r="C14" s="4" t="s">
        <v>556</v>
      </c>
      <c r="D14" s="4" t="s">
        <v>83</v>
      </c>
      <c r="E14" s="12">
        <v>0.2</v>
      </c>
      <c r="F14" s="10">
        <f>IF(C14="","",SUMIF('Commit Log'!$C$5:$C$64,C14,'Commit Log'!$E$5:$E$64))</f>
        <v>4</v>
      </c>
      <c r="G14" s="10" t="str">
        <f>IF(C14="","",IF(AND(ISNUMBER(F14),F14&gt;0),"OK","No commits yet"))</f>
        <v>OK</v>
      </c>
    </row>
    <row r="15" spans="1:7" ht="39.75" customHeight="1" x14ac:dyDescent="0.25">
      <c r="A15" s="9" t="s">
        <v>84</v>
      </c>
      <c r="B15" s="4" t="s">
        <v>753</v>
      </c>
      <c r="C15" s="4" t="s">
        <v>85</v>
      </c>
      <c r="D15" s="4" t="s">
        <v>86</v>
      </c>
      <c r="E15" s="12">
        <v>0.2</v>
      </c>
      <c r="F15" s="10">
        <f>IF(C15="","",SUMIF('Commit Log'!$C$5:$C$64,C15,'Commit Log'!$E$5:$E$64))</f>
        <v>3</v>
      </c>
      <c r="G15" s="10" t="str">
        <f>IF(C15="","",IF(AND(ISNUMBER(F15),F15&gt;0),"OK","No commits yet"))</f>
        <v>OK</v>
      </c>
    </row>
    <row r="16" spans="1:7" ht="15" customHeight="1" x14ac:dyDescent="0.25">
      <c r="D16" s="9" t="s">
        <v>87</v>
      </c>
      <c r="E16" s="13">
        <f>SUM(E11:E15)</f>
        <v>1</v>
      </c>
    </row>
    <row r="17" spans="1:5" ht="15" customHeight="1" x14ac:dyDescent="0.25">
      <c r="D17" s="9" t="s">
        <v>74</v>
      </c>
      <c r="E17" s="10" t="str">
        <f>IF(ROUND(E16,4)=1,"OK","Must total 100%")</f>
        <v>OK</v>
      </c>
    </row>
    <row r="19" spans="1:5" ht="15" customHeight="1" x14ac:dyDescent="0.25">
      <c r="A19" s="14" t="s">
        <v>88</v>
      </c>
    </row>
  </sheetData>
  <mergeCells count="3">
    <mergeCell ref="B4:C4"/>
    <mergeCell ref="B7:D7"/>
    <mergeCell ref="B5:D5"/>
  </mergeCells>
  <conditionalFormatting sqref="B7">
    <cfRule type="expression" dxfId="9" priority="2">
      <formula>B7&lt;&gt;"OK"</formula>
    </cfRule>
  </conditionalFormatting>
  <conditionalFormatting sqref="E17">
    <cfRule type="expression" dxfId="8" priority="4">
      <formula>E17&lt;&gt;"OK"</formula>
    </cfRule>
  </conditionalFormatting>
  <conditionalFormatting sqref="G11:G15">
    <cfRule type="expression" dxfId="7" priority="3">
      <formula>G11="No commits yet"</formula>
    </cfRule>
  </conditionalFormatting>
  <dataValidations count="1">
    <dataValidation type="decimal" allowBlank="1" showErrorMessage="1" error="Enter a percentage from 0% to 100%." sqref="E11:E15" xr:uid="{00000000-0002-0000-0100-000000000000}">
      <formula1>0</formula1>
      <formula2>1</formula2>
    </dataValidation>
  </dataValidations>
  <hyperlinks>
    <hyperlink ref="B5" r:id="rId1" xr:uid="{2AA0E003-BCF1-4A04-AE22-70193762317B}"/>
  </hyperlinks>
  <pageMargins left="0.75" right="0.75" top="1" bottom="1" header="0.511811023622047" footer="0.511811023622047"/>
  <pageSetup fitToHeight="0" orientation="landscape" horizontalDpi="300" verticalDpi="300"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J35"/>
  <sheetViews>
    <sheetView showGridLines="0" zoomScale="55" zoomScaleNormal="55" workbookViewId="0">
      <pane xSplit="3" ySplit="4" topLeftCell="D5" activePane="bottomRight" state="frozen"/>
      <selection pane="topRight" activeCell="D1" sqref="D1"/>
      <selection pane="bottomLeft" activeCell="A20" sqref="A20"/>
      <selection pane="bottomRight" activeCell="E10" sqref="E10"/>
    </sheetView>
  </sheetViews>
  <sheetFormatPr defaultColWidth="8.7109375" defaultRowHeight="15" x14ac:dyDescent="0.25"/>
  <cols>
    <col min="1" max="1" width="7" customWidth="1"/>
    <col min="2" max="2" width="16" customWidth="1"/>
    <col min="3" max="3" width="36" customWidth="1"/>
    <col min="4" max="4" width="40" customWidth="1"/>
    <col min="5" max="5" width="16" customWidth="1"/>
    <col min="6" max="6" width="40" customWidth="1"/>
    <col min="7" max="7" width="34" customWidth="1"/>
    <col min="8" max="8" width="14" customWidth="1"/>
    <col min="9" max="9" width="12" customWidth="1"/>
    <col min="10" max="10" width="26" customWidth="1"/>
  </cols>
  <sheetData>
    <row r="1" spans="1:10" ht="19.5" customHeight="1" x14ac:dyDescent="0.3">
      <c r="A1" s="1" t="s">
        <v>89</v>
      </c>
    </row>
    <row r="2" spans="1:10" ht="15" customHeight="1" x14ac:dyDescent="0.25">
      <c r="A2" s="2" t="s">
        <v>90</v>
      </c>
    </row>
    <row r="4" spans="1:10" ht="48" customHeight="1" x14ac:dyDescent="0.25">
      <c r="A4" s="7" t="s">
        <v>91</v>
      </c>
      <c r="B4" s="11" t="s">
        <v>92</v>
      </c>
      <c r="C4" s="11" t="s">
        <v>93</v>
      </c>
      <c r="D4" s="11" t="s">
        <v>94</v>
      </c>
      <c r="E4" s="11" t="s">
        <v>95</v>
      </c>
      <c r="F4" s="11" t="s">
        <v>96</v>
      </c>
      <c r="G4" s="11" t="s">
        <v>97</v>
      </c>
      <c r="H4" s="11" t="s">
        <v>98</v>
      </c>
      <c r="I4" s="11" t="s">
        <v>99</v>
      </c>
      <c r="J4" s="15" t="s">
        <v>100</v>
      </c>
    </row>
    <row r="5" spans="1:10" ht="58.5" customHeight="1" x14ac:dyDescent="0.25">
      <c r="A5" s="16" t="s">
        <v>101</v>
      </c>
      <c r="B5" s="4" t="s">
        <v>102</v>
      </c>
      <c r="C5" s="4" t="s">
        <v>103</v>
      </c>
      <c r="D5" s="4" t="s">
        <v>104</v>
      </c>
      <c r="E5" s="4" t="s">
        <v>105</v>
      </c>
      <c r="F5" s="4" t="s">
        <v>106</v>
      </c>
      <c r="G5" s="4" t="s">
        <v>107</v>
      </c>
      <c r="H5" s="4" t="s">
        <v>108</v>
      </c>
      <c r="I5" s="4" t="s">
        <v>109</v>
      </c>
      <c r="J5" s="6"/>
    </row>
    <row r="6" spans="1:10" ht="72" customHeight="1" x14ac:dyDescent="0.25">
      <c r="A6" s="16" t="s">
        <v>110</v>
      </c>
      <c r="B6" s="4" t="s">
        <v>102</v>
      </c>
      <c r="C6" s="4" t="s">
        <v>111</v>
      </c>
      <c r="D6" s="4" t="s">
        <v>112</v>
      </c>
      <c r="E6" s="4" t="s">
        <v>105</v>
      </c>
      <c r="F6" s="4" t="s">
        <v>113</v>
      </c>
      <c r="G6" s="4" t="s">
        <v>114</v>
      </c>
      <c r="H6" s="4" t="s">
        <v>115</v>
      </c>
      <c r="I6" s="4" t="s">
        <v>109</v>
      </c>
      <c r="J6" s="6"/>
    </row>
    <row r="7" spans="1:10" ht="58.5" customHeight="1" x14ac:dyDescent="0.25">
      <c r="A7" s="16" t="s">
        <v>116</v>
      </c>
      <c r="B7" s="4" t="s">
        <v>102</v>
      </c>
      <c r="C7" s="4" t="s">
        <v>117</v>
      </c>
      <c r="D7" s="4" t="s">
        <v>118</v>
      </c>
      <c r="E7" s="4" t="s">
        <v>119</v>
      </c>
      <c r="F7" s="4" t="s">
        <v>120</v>
      </c>
      <c r="G7" s="4" t="s">
        <v>121</v>
      </c>
      <c r="H7" s="4" t="s">
        <v>122</v>
      </c>
      <c r="I7" s="4" t="s">
        <v>109</v>
      </c>
      <c r="J7" s="6"/>
    </row>
    <row r="8" spans="1:10" ht="58.5" customHeight="1" x14ac:dyDescent="0.25">
      <c r="A8" s="16" t="s">
        <v>123</v>
      </c>
      <c r="B8" s="4" t="s">
        <v>102</v>
      </c>
      <c r="C8" s="4" t="s">
        <v>124</v>
      </c>
      <c r="D8" s="4" t="s">
        <v>125</v>
      </c>
      <c r="E8" s="4" t="s">
        <v>105</v>
      </c>
      <c r="F8" s="4" t="s">
        <v>126</v>
      </c>
      <c r="G8" s="4" t="s">
        <v>127</v>
      </c>
      <c r="H8" s="4" t="s">
        <v>128</v>
      </c>
      <c r="I8" s="4" t="s">
        <v>109</v>
      </c>
      <c r="J8" s="6"/>
    </row>
    <row r="9" spans="1:10" ht="45" customHeight="1" x14ac:dyDescent="0.25">
      <c r="A9" s="16" t="s">
        <v>129</v>
      </c>
      <c r="B9" s="4" t="s">
        <v>130</v>
      </c>
      <c r="C9" s="4" t="s">
        <v>131</v>
      </c>
      <c r="D9" s="4" t="s">
        <v>132</v>
      </c>
      <c r="E9" s="4" t="s">
        <v>133</v>
      </c>
      <c r="F9" s="4" t="s">
        <v>134</v>
      </c>
      <c r="G9" s="4" t="s">
        <v>135</v>
      </c>
      <c r="H9" s="4" t="s">
        <v>136</v>
      </c>
      <c r="I9" s="4" t="s">
        <v>109</v>
      </c>
      <c r="J9" s="6"/>
    </row>
    <row r="10" spans="1:10" ht="84.75" customHeight="1" x14ac:dyDescent="0.25">
      <c r="A10" s="16" t="s">
        <v>137</v>
      </c>
      <c r="B10" s="4" t="s">
        <v>130</v>
      </c>
      <c r="C10" s="4" t="s">
        <v>138</v>
      </c>
      <c r="D10" s="4" t="s">
        <v>139</v>
      </c>
      <c r="E10" s="4" t="s">
        <v>133</v>
      </c>
      <c r="F10" s="4" t="s">
        <v>140</v>
      </c>
      <c r="G10" s="4" t="s">
        <v>141</v>
      </c>
      <c r="H10" s="4" t="s">
        <v>142</v>
      </c>
      <c r="I10" s="4" t="s">
        <v>109</v>
      </c>
      <c r="J10" s="6"/>
    </row>
    <row r="11" spans="1:10" ht="58.5" customHeight="1" x14ac:dyDescent="0.25">
      <c r="A11" s="16" t="s">
        <v>143</v>
      </c>
      <c r="B11" s="4" t="s">
        <v>130</v>
      </c>
      <c r="C11" s="4" t="s">
        <v>144</v>
      </c>
      <c r="D11" s="4" t="s">
        <v>145</v>
      </c>
      <c r="E11" s="4" t="s">
        <v>133</v>
      </c>
      <c r="F11" s="4" t="s">
        <v>146</v>
      </c>
      <c r="G11" s="4" t="s">
        <v>147</v>
      </c>
      <c r="H11" s="4" t="s">
        <v>148</v>
      </c>
      <c r="I11" s="4" t="s">
        <v>109</v>
      </c>
      <c r="J11" s="6"/>
    </row>
    <row r="12" spans="1:10" ht="72" customHeight="1" x14ac:dyDescent="0.25">
      <c r="A12" s="16" t="s">
        <v>149</v>
      </c>
      <c r="B12" s="4" t="s">
        <v>130</v>
      </c>
      <c r="C12" s="4" t="s">
        <v>150</v>
      </c>
      <c r="D12" s="4" t="s">
        <v>151</v>
      </c>
      <c r="E12" s="4" t="s">
        <v>133</v>
      </c>
      <c r="F12" s="4" t="s">
        <v>152</v>
      </c>
      <c r="G12" s="4" t="s">
        <v>153</v>
      </c>
      <c r="H12" s="4" t="s">
        <v>154</v>
      </c>
      <c r="I12" s="4" t="s">
        <v>109</v>
      </c>
      <c r="J12" s="6"/>
    </row>
    <row r="13" spans="1:10" ht="84.75" customHeight="1" x14ac:dyDescent="0.25">
      <c r="A13" s="16" t="s">
        <v>155</v>
      </c>
      <c r="B13" s="4" t="s">
        <v>156</v>
      </c>
      <c r="C13" s="4" t="s">
        <v>157</v>
      </c>
      <c r="D13" s="4" t="s">
        <v>158</v>
      </c>
      <c r="E13" s="4" t="s">
        <v>159</v>
      </c>
      <c r="F13" s="4" t="s">
        <v>160</v>
      </c>
      <c r="G13" s="4" t="s">
        <v>161</v>
      </c>
      <c r="H13" s="4" t="s">
        <v>162</v>
      </c>
      <c r="I13" s="4" t="s">
        <v>109</v>
      </c>
      <c r="J13" s="6"/>
    </row>
    <row r="14" spans="1:10" ht="84.75" customHeight="1" x14ac:dyDescent="0.25">
      <c r="A14" s="16" t="s">
        <v>163</v>
      </c>
      <c r="B14" s="4" t="s">
        <v>156</v>
      </c>
      <c r="C14" s="4" t="s">
        <v>164</v>
      </c>
      <c r="D14" s="4" t="s">
        <v>165</v>
      </c>
      <c r="E14" s="4" t="s">
        <v>119</v>
      </c>
      <c r="F14" s="4" t="s">
        <v>166</v>
      </c>
      <c r="G14" s="4" t="s">
        <v>167</v>
      </c>
      <c r="H14" s="4" t="s">
        <v>168</v>
      </c>
      <c r="I14" s="4" t="s">
        <v>109</v>
      </c>
      <c r="J14" s="6"/>
    </row>
    <row r="15" spans="1:10" ht="58.5" customHeight="1" x14ac:dyDescent="0.25">
      <c r="A15" s="16" t="s">
        <v>169</v>
      </c>
      <c r="B15" s="4" t="s">
        <v>156</v>
      </c>
      <c r="C15" s="4" t="s">
        <v>170</v>
      </c>
      <c r="D15" s="4" t="s">
        <v>171</v>
      </c>
      <c r="E15" s="4" t="s">
        <v>133</v>
      </c>
      <c r="F15" s="4" t="s">
        <v>172</v>
      </c>
      <c r="G15" s="4" t="s">
        <v>173</v>
      </c>
      <c r="H15" s="4" t="s">
        <v>174</v>
      </c>
      <c r="I15" s="4" t="s">
        <v>109</v>
      </c>
      <c r="J15" s="6"/>
    </row>
    <row r="16" spans="1:10" ht="98.25" customHeight="1" x14ac:dyDescent="0.25">
      <c r="A16" s="16" t="s">
        <v>175</v>
      </c>
      <c r="B16" s="4" t="s">
        <v>156</v>
      </c>
      <c r="C16" s="4" t="s">
        <v>176</v>
      </c>
      <c r="D16" s="4" t="s">
        <v>177</v>
      </c>
      <c r="E16" s="4" t="s">
        <v>119</v>
      </c>
      <c r="F16" s="4" t="s">
        <v>178</v>
      </c>
      <c r="G16" s="4" t="s">
        <v>179</v>
      </c>
      <c r="H16" s="4" t="s">
        <v>180</v>
      </c>
      <c r="I16" s="4" t="s">
        <v>109</v>
      </c>
      <c r="J16" s="6"/>
    </row>
    <row r="17" spans="1:10" ht="72" customHeight="1" x14ac:dyDescent="0.25">
      <c r="A17" s="16" t="s">
        <v>181</v>
      </c>
      <c r="B17" s="4" t="s">
        <v>182</v>
      </c>
      <c r="C17" s="4" t="s">
        <v>183</v>
      </c>
      <c r="D17" s="4" t="s">
        <v>184</v>
      </c>
      <c r="E17" s="4" t="s">
        <v>185</v>
      </c>
      <c r="F17" s="4" t="s">
        <v>186</v>
      </c>
      <c r="G17" s="4" t="s">
        <v>187</v>
      </c>
      <c r="H17" s="4" t="s">
        <v>188</v>
      </c>
      <c r="I17" s="4" t="s">
        <v>109</v>
      </c>
      <c r="J17" s="6"/>
    </row>
    <row r="18" spans="1:10" ht="72" customHeight="1" x14ac:dyDescent="0.25">
      <c r="A18" s="16" t="s">
        <v>189</v>
      </c>
      <c r="B18" s="4" t="s">
        <v>182</v>
      </c>
      <c r="C18" s="4" t="s">
        <v>190</v>
      </c>
      <c r="D18" s="4" t="s">
        <v>191</v>
      </c>
      <c r="E18" s="4" t="s">
        <v>185</v>
      </c>
      <c r="F18" s="4" t="s">
        <v>192</v>
      </c>
      <c r="G18" s="4" t="s">
        <v>193</v>
      </c>
      <c r="H18" s="4" t="s">
        <v>194</v>
      </c>
      <c r="I18" s="4" t="s">
        <v>109</v>
      </c>
      <c r="J18" s="6"/>
    </row>
    <row r="19" spans="1:10" ht="72" customHeight="1" x14ac:dyDescent="0.25">
      <c r="A19" s="16" t="s">
        <v>195</v>
      </c>
      <c r="B19" s="4" t="s">
        <v>102</v>
      </c>
      <c r="C19" s="4" t="s">
        <v>196</v>
      </c>
      <c r="D19" s="4" t="s">
        <v>197</v>
      </c>
      <c r="E19" s="4" t="s">
        <v>105</v>
      </c>
      <c r="F19" s="4" t="s">
        <v>198</v>
      </c>
      <c r="G19" s="4" t="s">
        <v>199</v>
      </c>
      <c r="H19" s="4" t="s">
        <v>200</v>
      </c>
      <c r="I19" s="4" t="s">
        <v>109</v>
      </c>
      <c r="J19" s="6"/>
    </row>
    <row r="20" spans="1:10" ht="72" customHeight="1" x14ac:dyDescent="0.25">
      <c r="A20" s="16" t="s">
        <v>201</v>
      </c>
      <c r="B20" s="4" t="s">
        <v>202</v>
      </c>
      <c r="C20" s="4" t="s">
        <v>203</v>
      </c>
      <c r="D20" s="4" t="s">
        <v>204</v>
      </c>
      <c r="E20" s="4" t="s">
        <v>133</v>
      </c>
      <c r="F20" s="4" t="s">
        <v>205</v>
      </c>
      <c r="G20" s="4" t="s">
        <v>206</v>
      </c>
      <c r="H20" s="4" t="s">
        <v>207</v>
      </c>
      <c r="I20" s="4" t="s">
        <v>109</v>
      </c>
      <c r="J20" s="6"/>
    </row>
    <row r="21" spans="1:10" ht="72" customHeight="1" x14ac:dyDescent="0.25">
      <c r="A21" s="16" t="s">
        <v>208</v>
      </c>
      <c r="B21" s="4" t="s">
        <v>202</v>
      </c>
      <c r="C21" s="4" t="s">
        <v>209</v>
      </c>
      <c r="D21" s="4" t="s">
        <v>210</v>
      </c>
      <c r="E21" s="4" t="s">
        <v>133</v>
      </c>
      <c r="F21" s="4" t="s">
        <v>211</v>
      </c>
      <c r="G21" s="4" t="s">
        <v>212</v>
      </c>
      <c r="H21" s="4" t="s">
        <v>213</v>
      </c>
      <c r="I21" s="4" t="s">
        <v>109</v>
      </c>
      <c r="J21" s="6"/>
    </row>
    <row r="22" spans="1:10" ht="45" customHeight="1" x14ac:dyDescent="0.25">
      <c r="A22" s="16" t="s">
        <v>214</v>
      </c>
      <c r="B22" s="4" t="s">
        <v>202</v>
      </c>
      <c r="C22" s="4" t="s">
        <v>215</v>
      </c>
      <c r="D22" s="4" t="s">
        <v>216</v>
      </c>
      <c r="E22" s="4" t="s">
        <v>185</v>
      </c>
      <c r="F22" s="4" t="s">
        <v>217</v>
      </c>
      <c r="G22" s="4" t="s">
        <v>218</v>
      </c>
      <c r="H22" s="4" t="s">
        <v>219</v>
      </c>
      <c r="I22" s="4" t="s">
        <v>109</v>
      </c>
      <c r="J22" s="6"/>
    </row>
    <row r="23" spans="1:10" ht="72" customHeight="1" x14ac:dyDescent="0.25">
      <c r="A23" s="16" t="s">
        <v>220</v>
      </c>
      <c r="B23" s="4" t="s">
        <v>221</v>
      </c>
      <c r="C23" s="4" t="s">
        <v>222</v>
      </c>
      <c r="D23" s="4" t="s">
        <v>223</v>
      </c>
      <c r="E23" s="4" t="s">
        <v>119</v>
      </c>
      <c r="F23" s="4" t="s">
        <v>224</v>
      </c>
      <c r="G23" s="4" t="s">
        <v>225</v>
      </c>
      <c r="H23" s="4" t="s">
        <v>226</v>
      </c>
      <c r="I23" s="4" t="s">
        <v>109</v>
      </c>
      <c r="J23" s="6"/>
    </row>
    <row r="24" spans="1:10" ht="58.5" customHeight="1" x14ac:dyDescent="0.25">
      <c r="A24" s="16" t="s">
        <v>227</v>
      </c>
      <c r="B24" s="4" t="s">
        <v>221</v>
      </c>
      <c r="C24" s="4" t="s">
        <v>228</v>
      </c>
      <c r="D24" s="4" t="s">
        <v>229</v>
      </c>
      <c r="E24" s="4" t="s">
        <v>119</v>
      </c>
      <c r="F24" s="4" t="s">
        <v>230</v>
      </c>
      <c r="G24" s="4" t="s">
        <v>231</v>
      </c>
      <c r="H24" s="4" t="s">
        <v>232</v>
      </c>
      <c r="I24" s="4" t="s">
        <v>109</v>
      </c>
      <c r="J24" s="6"/>
    </row>
    <row r="25" spans="1:10" ht="72" customHeight="1" x14ac:dyDescent="0.25">
      <c r="A25" s="16" t="s">
        <v>233</v>
      </c>
      <c r="B25" s="4" t="s">
        <v>221</v>
      </c>
      <c r="C25" s="4" t="s">
        <v>234</v>
      </c>
      <c r="D25" s="4" t="s">
        <v>235</v>
      </c>
      <c r="E25" s="4" t="s">
        <v>119</v>
      </c>
      <c r="F25" s="4" t="s">
        <v>236</v>
      </c>
      <c r="G25" s="4" t="s">
        <v>237</v>
      </c>
      <c r="H25" s="4" t="s">
        <v>238</v>
      </c>
      <c r="I25" s="4" t="s">
        <v>109</v>
      </c>
      <c r="J25" s="6"/>
    </row>
    <row r="26" spans="1:10" ht="72" customHeight="1" x14ac:dyDescent="0.25">
      <c r="A26" s="16" t="s">
        <v>239</v>
      </c>
      <c r="B26" s="4" t="s">
        <v>240</v>
      </c>
      <c r="C26" s="4" t="s">
        <v>241</v>
      </c>
      <c r="D26" s="4" t="s">
        <v>242</v>
      </c>
      <c r="E26" s="4" t="s">
        <v>159</v>
      </c>
      <c r="F26" s="4" t="s">
        <v>243</v>
      </c>
      <c r="G26" s="4" t="s">
        <v>244</v>
      </c>
      <c r="H26" s="4" t="s">
        <v>245</v>
      </c>
      <c r="I26" s="4" t="s">
        <v>109</v>
      </c>
      <c r="J26" s="6"/>
    </row>
    <row r="27" spans="1:10" ht="72" customHeight="1" x14ac:dyDescent="0.25">
      <c r="A27" s="16" t="s">
        <v>246</v>
      </c>
      <c r="B27" s="4" t="s">
        <v>247</v>
      </c>
      <c r="C27" s="4" t="s">
        <v>248</v>
      </c>
      <c r="D27" s="4" t="s">
        <v>249</v>
      </c>
      <c r="E27" s="4" t="s">
        <v>133</v>
      </c>
      <c r="F27" s="4" t="s">
        <v>250</v>
      </c>
      <c r="G27" s="4" t="s">
        <v>251</v>
      </c>
      <c r="H27" s="4" t="s">
        <v>252</v>
      </c>
      <c r="I27" s="4" t="s">
        <v>109</v>
      </c>
      <c r="J27" s="6"/>
    </row>
    <row r="28" spans="1:10" ht="45" customHeight="1" x14ac:dyDescent="0.25">
      <c r="A28" s="16" t="s">
        <v>253</v>
      </c>
      <c r="B28" s="4" t="s">
        <v>254</v>
      </c>
      <c r="C28" s="4" t="s">
        <v>255</v>
      </c>
      <c r="D28" s="4" t="s">
        <v>256</v>
      </c>
      <c r="E28" s="4" t="s">
        <v>119</v>
      </c>
      <c r="F28" s="4" t="s">
        <v>257</v>
      </c>
      <c r="G28" s="4" t="s">
        <v>258</v>
      </c>
      <c r="H28" s="4" t="s">
        <v>259</v>
      </c>
      <c r="I28" s="4" t="s">
        <v>109</v>
      </c>
      <c r="J28" s="6"/>
    </row>
    <row r="29" spans="1:10" ht="72" customHeight="1" x14ac:dyDescent="0.25">
      <c r="A29" s="16" t="s">
        <v>260</v>
      </c>
      <c r="B29" s="4" t="s">
        <v>254</v>
      </c>
      <c r="C29" s="4" t="s">
        <v>261</v>
      </c>
      <c r="D29" s="4" t="s">
        <v>262</v>
      </c>
      <c r="E29" s="4" t="s">
        <v>119</v>
      </c>
      <c r="F29" s="4" t="s">
        <v>263</v>
      </c>
      <c r="G29" s="4" t="s">
        <v>264</v>
      </c>
      <c r="H29" s="4" t="s">
        <v>265</v>
      </c>
      <c r="I29" s="4" t="s">
        <v>109</v>
      </c>
      <c r="J29" s="6"/>
    </row>
    <row r="31" spans="1:10" ht="15" customHeight="1" x14ac:dyDescent="0.25">
      <c r="C31" s="9" t="s">
        <v>266</v>
      </c>
      <c r="D31" s="10">
        <f>COUNTA(D5:D29)</f>
        <v>25</v>
      </c>
    </row>
    <row r="32" spans="1:10" ht="15" customHeight="1" x14ac:dyDescent="0.25">
      <c r="C32" s="9" t="s">
        <v>267</v>
      </c>
      <c r="D32" s="10">
        <f>COUNTA(H5:H29)</f>
        <v>25</v>
      </c>
    </row>
    <row r="33" spans="1:4" ht="15" customHeight="1" x14ac:dyDescent="0.25">
      <c r="C33" s="9" t="s">
        <v>268</v>
      </c>
      <c r="D33" s="17">
        <f>SUMPRODUCT((B5:B29&lt;&gt;"")/COUNTIF(B5:B29,B5:B29&amp;""))</f>
        <v>8.9999999999999982</v>
      </c>
    </row>
    <row r="35" spans="1:4" ht="15" customHeight="1" x14ac:dyDescent="0.25">
      <c r="A35" s="14" t="s">
        <v>269</v>
      </c>
    </row>
  </sheetData>
  <dataValidations count="3">
    <dataValidation type="list" allowBlank="1" showErrorMessage="1" error="Choose a value from the list." sqref="B5:B29" xr:uid="{00000000-0002-0000-0200-000000000000}">
      <formula1>"Payment,Ticket and fares,Hardware,Failure handling,Security,Performance and reliability,Users and accessibility,Integration,Other"</formula1>
      <formula2>0</formula2>
    </dataValidation>
    <dataValidation type="list" allowBlank="1" showErrorMessage="1" error="Choose a value from the list." sqref="E5:E29" xr:uid="{00000000-0002-0000-0200-000001000000}">
      <formula1>"Passenger,Operator,Bank / payment gateway,Maintenance,Transport authority,Other"</formula1>
      <formula2>0</formula2>
    </dataValidation>
    <dataValidation type="list" allowBlank="1" showErrorMessage="1" error="Choose a value from the list." sqref="I5:I29" xr:uid="{00000000-0002-0000-0200-000002000000}">
      <formula1>"Draft,Final"</formula1>
      <formula2>0</formula2>
    </dataValidation>
  </dataValidations>
  <pageMargins left="0.75" right="0.75" top="1" bottom="1" header="0.511811023622047" footer="0.511811023622047"/>
  <pageSetup fitToHeight="0"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62"/>
  <sheetViews>
    <sheetView showGridLines="0" zoomScaleNormal="100" workbookViewId="0">
      <pane xSplit="1" ySplit="4" topLeftCell="B5" activePane="bottomRight" state="frozen"/>
      <selection pane="topRight" activeCell="B1" sqref="B1"/>
      <selection pane="bottomLeft" activeCell="A5" sqref="A5"/>
      <selection pane="bottomRight"/>
    </sheetView>
  </sheetViews>
  <sheetFormatPr defaultColWidth="8.7109375" defaultRowHeight="15" x14ac:dyDescent="0.25"/>
  <cols>
    <col min="1" max="1" width="10" customWidth="1"/>
    <col min="2" max="2" width="52" customWidth="1"/>
    <col min="3" max="3" width="8" customWidth="1"/>
    <col min="4" max="4" width="18" customWidth="1"/>
    <col min="5" max="5" width="40" customWidth="1"/>
    <col min="6" max="6" width="28" customWidth="1"/>
    <col min="7" max="9" width="12" customWidth="1"/>
    <col min="10" max="10" width="26" customWidth="1"/>
  </cols>
  <sheetData>
    <row r="1" spans="1:10" ht="19.5" customHeight="1" x14ac:dyDescent="0.3">
      <c r="A1" s="1" t="s">
        <v>270</v>
      </c>
    </row>
    <row r="2" spans="1:10" ht="15" customHeight="1" x14ac:dyDescent="0.25">
      <c r="A2" s="2" t="s">
        <v>271</v>
      </c>
    </row>
    <row r="4" spans="1:10" ht="33.75" customHeight="1" x14ac:dyDescent="0.25">
      <c r="A4" s="7" t="s">
        <v>272</v>
      </c>
      <c r="B4" s="11" t="s">
        <v>273</v>
      </c>
      <c r="C4" s="11" t="s">
        <v>274</v>
      </c>
      <c r="D4" s="11" t="s">
        <v>275</v>
      </c>
      <c r="E4" s="11" t="s">
        <v>276</v>
      </c>
      <c r="F4" s="11" t="s">
        <v>277</v>
      </c>
      <c r="G4" s="11" t="s">
        <v>278</v>
      </c>
      <c r="H4" s="11" t="s">
        <v>279</v>
      </c>
      <c r="I4" s="11" t="s">
        <v>280</v>
      </c>
      <c r="J4" s="15" t="s">
        <v>100</v>
      </c>
    </row>
    <row r="5" spans="1:10" ht="45" customHeight="1" x14ac:dyDescent="0.25">
      <c r="A5" s="16" t="str">
        <f>IF(C5="","",C5&amp;COUNTIF($C$5:C5,C5))</f>
        <v>FR1</v>
      </c>
      <c r="B5" s="4" t="s">
        <v>281</v>
      </c>
      <c r="C5" s="4" t="s">
        <v>282</v>
      </c>
      <c r="D5" s="4"/>
      <c r="E5" s="4"/>
      <c r="F5" s="4"/>
      <c r="G5" s="4" t="s">
        <v>283</v>
      </c>
      <c r="H5" s="4" t="s">
        <v>284</v>
      </c>
      <c r="I5" s="4" t="s">
        <v>239</v>
      </c>
      <c r="J5" s="6"/>
    </row>
    <row r="6" spans="1:10" ht="45" customHeight="1" x14ac:dyDescent="0.25">
      <c r="A6" s="16" t="str">
        <f>IF(C6="","",C6&amp;COUNTIF($C$5:C6,C6))</f>
        <v>FR2</v>
      </c>
      <c r="B6" s="4" t="s">
        <v>285</v>
      </c>
      <c r="C6" s="4" t="s">
        <v>282</v>
      </c>
      <c r="D6" s="4"/>
      <c r="E6" s="4"/>
      <c r="F6" s="4"/>
      <c r="G6" s="4" t="s">
        <v>286</v>
      </c>
      <c r="H6" s="4" t="s">
        <v>284</v>
      </c>
      <c r="I6" s="4" t="s">
        <v>287</v>
      </c>
      <c r="J6" s="6"/>
    </row>
    <row r="7" spans="1:10" ht="32.25" customHeight="1" x14ac:dyDescent="0.25">
      <c r="A7" s="16" t="str">
        <f>IF(C7="","",C7&amp;COUNTIF($C$5:C7,C7))</f>
        <v>FR3</v>
      </c>
      <c r="B7" s="4" t="s">
        <v>288</v>
      </c>
      <c r="C7" s="4" t="s">
        <v>282</v>
      </c>
      <c r="D7" s="4"/>
      <c r="E7" s="4"/>
      <c r="F7" s="4"/>
      <c r="G7" s="4" t="s">
        <v>286</v>
      </c>
      <c r="H7" s="4" t="s">
        <v>284</v>
      </c>
      <c r="I7" s="4" t="s">
        <v>289</v>
      </c>
      <c r="J7" s="6"/>
    </row>
    <row r="8" spans="1:10" ht="72" customHeight="1" x14ac:dyDescent="0.25">
      <c r="A8" s="16" t="str">
        <f>IF(C8="","",C8&amp;COUNTIF($C$5:C8,C8))</f>
        <v>FR4</v>
      </c>
      <c r="B8" s="4" t="s">
        <v>290</v>
      </c>
      <c r="C8" s="4" t="s">
        <v>282</v>
      </c>
      <c r="D8" s="4"/>
      <c r="E8" s="4"/>
      <c r="F8" s="4"/>
      <c r="G8" s="4" t="s">
        <v>286</v>
      </c>
      <c r="H8" s="4" t="s">
        <v>284</v>
      </c>
      <c r="I8" s="4" t="s">
        <v>291</v>
      </c>
      <c r="J8" s="6"/>
    </row>
    <row r="9" spans="1:10" ht="45" customHeight="1" x14ac:dyDescent="0.25">
      <c r="A9" s="16" t="str">
        <f>IF(C9="","",C9&amp;COUNTIF($C$5:C9,C9))</f>
        <v>FR5</v>
      </c>
      <c r="B9" s="4" t="s">
        <v>292</v>
      </c>
      <c r="C9" s="4" t="s">
        <v>282</v>
      </c>
      <c r="D9" s="4"/>
      <c r="E9" s="4"/>
      <c r="F9" s="4"/>
      <c r="G9" s="4" t="s">
        <v>283</v>
      </c>
      <c r="H9" s="4" t="s">
        <v>284</v>
      </c>
      <c r="I9" s="4" t="s">
        <v>116</v>
      </c>
      <c r="J9" s="6"/>
    </row>
    <row r="10" spans="1:10" ht="45" customHeight="1" x14ac:dyDescent="0.25">
      <c r="A10" s="16" t="str">
        <f>IF(C10="","",C10&amp;COUNTIF($C$5:C10,C10))</f>
        <v>FR6</v>
      </c>
      <c r="B10" s="4" t="s">
        <v>293</v>
      </c>
      <c r="C10" s="4" t="s">
        <v>282</v>
      </c>
      <c r="D10" s="4"/>
      <c r="E10" s="4"/>
      <c r="F10" s="4"/>
      <c r="G10" s="4" t="s">
        <v>286</v>
      </c>
      <c r="H10" s="4" t="s">
        <v>284</v>
      </c>
      <c r="I10" s="4" t="s">
        <v>129</v>
      </c>
      <c r="J10" s="6"/>
    </row>
    <row r="11" spans="1:10" ht="58.5" customHeight="1" x14ac:dyDescent="0.25">
      <c r="A11" s="16" t="str">
        <f>IF(C11="","",C11&amp;COUNTIF($C$5:C11,C11))</f>
        <v>FR7</v>
      </c>
      <c r="B11" s="4" t="s">
        <v>294</v>
      </c>
      <c r="C11" s="4" t="s">
        <v>282</v>
      </c>
      <c r="D11" s="4"/>
      <c r="E11" s="4"/>
      <c r="F11" s="4"/>
      <c r="G11" s="4" t="s">
        <v>286</v>
      </c>
      <c r="H11" s="4" t="s">
        <v>295</v>
      </c>
      <c r="I11" s="4" t="s">
        <v>129</v>
      </c>
      <c r="J11" s="6"/>
    </row>
    <row r="12" spans="1:10" ht="58.5" customHeight="1" x14ac:dyDescent="0.25">
      <c r="A12" s="16" t="str">
        <f>IF(C12="","",C12&amp;COUNTIF($C$5:C12,C12))</f>
        <v>FR8</v>
      </c>
      <c r="B12" s="4" t="s">
        <v>296</v>
      </c>
      <c r="C12" s="4" t="s">
        <v>282</v>
      </c>
      <c r="D12" s="4"/>
      <c r="E12" s="4"/>
      <c r="F12" s="4"/>
      <c r="G12" s="4" t="s">
        <v>286</v>
      </c>
      <c r="H12" s="4" t="s">
        <v>297</v>
      </c>
      <c r="I12" s="4" t="s">
        <v>298</v>
      </c>
      <c r="J12" s="6"/>
    </row>
    <row r="13" spans="1:10" ht="58.5" customHeight="1" x14ac:dyDescent="0.25">
      <c r="A13" s="16" t="str">
        <f>IF(C13="","",C13&amp;COUNTIF($C$5:C13,C13))</f>
        <v>FR9</v>
      </c>
      <c r="B13" s="4" t="s">
        <v>299</v>
      </c>
      <c r="C13" s="4" t="s">
        <v>282</v>
      </c>
      <c r="D13" s="4"/>
      <c r="E13" s="4"/>
      <c r="F13" s="4"/>
      <c r="G13" s="4" t="s">
        <v>286</v>
      </c>
      <c r="H13" s="4" t="s">
        <v>300</v>
      </c>
      <c r="I13" s="4" t="s">
        <v>298</v>
      </c>
      <c r="J13" s="6"/>
    </row>
    <row r="14" spans="1:10" ht="58.5" customHeight="1" x14ac:dyDescent="0.25">
      <c r="A14" s="16" t="str">
        <f>IF(C14="","",C14&amp;COUNTIF($C$5:C14,C14))</f>
        <v>FR10</v>
      </c>
      <c r="B14" s="4" t="s">
        <v>301</v>
      </c>
      <c r="C14" s="4" t="s">
        <v>282</v>
      </c>
      <c r="D14" s="4"/>
      <c r="E14" s="4"/>
      <c r="F14" s="4"/>
      <c r="G14" s="4" t="s">
        <v>286</v>
      </c>
      <c r="H14" s="4" t="s">
        <v>302</v>
      </c>
      <c r="I14" s="4" t="s">
        <v>303</v>
      </c>
      <c r="J14" s="6"/>
    </row>
    <row r="15" spans="1:10" ht="45" customHeight="1" x14ac:dyDescent="0.25">
      <c r="A15" s="16" t="str">
        <f>IF(C15="","",C15&amp;COUNTIF($C$5:C15,C15))</f>
        <v>FR11</v>
      </c>
      <c r="B15" s="4" t="s">
        <v>304</v>
      </c>
      <c r="C15" s="4" t="s">
        <v>282</v>
      </c>
      <c r="D15" s="4"/>
      <c r="E15" s="4"/>
      <c r="F15" s="4"/>
      <c r="G15" s="4" t="s">
        <v>286</v>
      </c>
      <c r="H15" s="4" t="s">
        <v>305</v>
      </c>
      <c r="I15" s="4" t="s">
        <v>155</v>
      </c>
      <c r="J15" s="6"/>
    </row>
    <row r="16" spans="1:10" ht="58.5" customHeight="1" x14ac:dyDescent="0.25">
      <c r="A16" s="16" t="str">
        <f>IF(C16="","",C16&amp;COUNTIF($C$5:C16,C16))</f>
        <v>FR12</v>
      </c>
      <c r="B16" s="4" t="s">
        <v>306</v>
      </c>
      <c r="C16" s="4" t="s">
        <v>282</v>
      </c>
      <c r="D16" s="4"/>
      <c r="E16" s="4"/>
      <c r="F16" s="4"/>
      <c r="G16" s="4" t="s">
        <v>286</v>
      </c>
      <c r="H16" s="4" t="s">
        <v>295</v>
      </c>
      <c r="I16" s="4" t="s">
        <v>149</v>
      </c>
      <c r="J16" s="6"/>
    </row>
    <row r="17" spans="1:10" ht="58.5" customHeight="1" x14ac:dyDescent="0.25">
      <c r="A17" s="16" t="str">
        <f>IF(C17="","",C17&amp;COUNTIF($C$5:C17,C17))</f>
        <v>FR13</v>
      </c>
      <c r="B17" s="4" t="s">
        <v>307</v>
      </c>
      <c r="C17" s="4" t="s">
        <v>282</v>
      </c>
      <c r="D17" s="4"/>
      <c r="E17" s="4"/>
      <c r="F17" s="4"/>
      <c r="G17" s="4" t="s">
        <v>286</v>
      </c>
      <c r="H17" s="4" t="s">
        <v>308</v>
      </c>
      <c r="I17" s="4" t="s">
        <v>143</v>
      </c>
      <c r="J17" s="6"/>
    </row>
    <row r="18" spans="1:10" ht="45" customHeight="1" x14ac:dyDescent="0.25">
      <c r="A18" s="16" t="str">
        <f>IF(C18="","",C18&amp;COUNTIF($C$5:C18,C18))</f>
        <v>FR14</v>
      </c>
      <c r="B18" s="4" t="s">
        <v>309</v>
      </c>
      <c r="C18" s="4" t="s">
        <v>282</v>
      </c>
      <c r="D18" s="4"/>
      <c r="E18" s="4"/>
      <c r="F18" s="4"/>
      <c r="G18" s="4" t="s">
        <v>283</v>
      </c>
      <c r="H18" s="4" t="s">
        <v>305</v>
      </c>
      <c r="I18" s="4" t="s">
        <v>169</v>
      </c>
      <c r="J18" s="6"/>
    </row>
    <row r="19" spans="1:10" ht="58.5" customHeight="1" x14ac:dyDescent="0.25">
      <c r="A19" s="16" t="str">
        <f>IF(C19="","",C19&amp;COUNTIF($C$5:C19,C19))</f>
        <v>FR15</v>
      </c>
      <c r="B19" s="4" t="s">
        <v>310</v>
      </c>
      <c r="C19" s="4" t="s">
        <v>282</v>
      </c>
      <c r="D19" s="4"/>
      <c r="E19" s="4"/>
      <c r="F19" s="4"/>
      <c r="G19" s="4" t="s">
        <v>286</v>
      </c>
      <c r="H19" s="4" t="s">
        <v>311</v>
      </c>
      <c r="I19" s="4" t="s">
        <v>195</v>
      </c>
      <c r="J19" s="6"/>
    </row>
    <row r="20" spans="1:10" ht="32.25" customHeight="1" x14ac:dyDescent="0.25">
      <c r="A20" s="16" t="str">
        <f>IF(C20="","",C20&amp;COUNTIF($C$5:C20,C20))</f>
        <v>FR16</v>
      </c>
      <c r="B20" s="4" t="s">
        <v>312</v>
      </c>
      <c r="C20" s="4" t="s">
        <v>282</v>
      </c>
      <c r="D20" s="4"/>
      <c r="E20" s="4"/>
      <c r="F20" s="4"/>
      <c r="G20" s="4" t="s">
        <v>286</v>
      </c>
      <c r="H20" s="4" t="s">
        <v>311</v>
      </c>
      <c r="I20" s="4" t="s">
        <v>313</v>
      </c>
      <c r="J20" s="6"/>
    </row>
    <row r="21" spans="1:10" ht="58.5" customHeight="1" x14ac:dyDescent="0.25">
      <c r="A21" s="16" t="str">
        <f>IF(C21="","",C21&amp;COUNTIF($C$5:C21,C21))</f>
        <v>FR17</v>
      </c>
      <c r="B21" s="4" t="s">
        <v>314</v>
      </c>
      <c r="C21" s="4" t="s">
        <v>282</v>
      </c>
      <c r="D21" s="4"/>
      <c r="E21" s="4"/>
      <c r="F21" s="4"/>
      <c r="G21" s="4" t="s">
        <v>286</v>
      </c>
      <c r="H21" s="4" t="s">
        <v>315</v>
      </c>
      <c r="I21" s="4" t="s">
        <v>316</v>
      </c>
      <c r="J21" s="6"/>
    </row>
    <row r="22" spans="1:10" ht="58.5" customHeight="1" x14ac:dyDescent="0.25">
      <c r="A22" s="16" t="str">
        <f>IF(C22="","",C22&amp;COUNTIF($C$5:C22,C22))</f>
        <v>FR18</v>
      </c>
      <c r="B22" s="4" t="s">
        <v>317</v>
      </c>
      <c r="C22" s="4" t="s">
        <v>282</v>
      </c>
      <c r="D22" s="4"/>
      <c r="E22" s="4"/>
      <c r="F22" s="4"/>
      <c r="G22" s="4" t="s">
        <v>286</v>
      </c>
      <c r="H22" s="4" t="s">
        <v>318</v>
      </c>
      <c r="I22" s="4" t="s">
        <v>319</v>
      </c>
      <c r="J22" s="6"/>
    </row>
    <row r="23" spans="1:10" ht="58.5" customHeight="1" x14ac:dyDescent="0.25">
      <c r="A23" s="16" t="str">
        <f>IF(C23="","",C23&amp;COUNTIF($C$5:C23,C23))</f>
        <v>FR19</v>
      </c>
      <c r="B23" s="4" t="s">
        <v>320</v>
      </c>
      <c r="C23" s="4" t="s">
        <v>282</v>
      </c>
      <c r="D23" s="4"/>
      <c r="E23" s="4"/>
      <c r="F23" s="4"/>
      <c r="G23" s="4" t="s">
        <v>286</v>
      </c>
      <c r="H23" s="4" t="s">
        <v>284</v>
      </c>
      <c r="I23" s="4" t="s">
        <v>260</v>
      </c>
      <c r="J23" s="6"/>
    </row>
    <row r="24" spans="1:10" ht="45" customHeight="1" x14ac:dyDescent="0.25">
      <c r="A24" s="16" t="str">
        <f>IF(C24="","",C24&amp;COUNTIF($C$5:C24,C24))</f>
        <v>FR20</v>
      </c>
      <c r="B24" s="4" t="s">
        <v>321</v>
      </c>
      <c r="C24" s="4" t="s">
        <v>282</v>
      </c>
      <c r="D24" s="4"/>
      <c r="E24" s="4"/>
      <c r="F24" s="4"/>
      <c r="G24" s="4" t="s">
        <v>286</v>
      </c>
      <c r="H24" s="4" t="s">
        <v>284</v>
      </c>
      <c r="I24" s="4" t="s">
        <v>208</v>
      </c>
      <c r="J24" s="6"/>
    </row>
    <row r="25" spans="1:10" ht="58.5" customHeight="1" x14ac:dyDescent="0.25">
      <c r="A25" s="16" t="str">
        <f>IF(C25="","",C25&amp;COUNTIF($C$5:C25,C25))</f>
        <v>FR21</v>
      </c>
      <c r="B25" s="4" t="s">
        <v>322</v>
      </c>
      <c r="C25" s="4" t="s">
        <v>282</v>
      </c>
      <c r="D25" s="4"/>
      <c r="E25" s="4"/>
      <c r="F25" s="4"/>
      <c r="G25" s="4" t="s">
        <v>283</v>
      </c>
      <c r="H25" s="4" t="s">
        <v>305</v>
      </c>
      <c r="I25" s="4" t="s">
        <v>175</v>
      </c>
      <c r="J25" s="6"/>
    </row>
    <row r="26" spans="1:10" ht="45" customHeight="1" x14ac:dyDescent="0.25">
      <c r="A26" s="16" t="str">
        <f>IF(C26="","",C26&amp;COUNTIF($C$5:C26,C26))</f>
        <v>FR22</v>
      </c>
      <c r="B26" s="4" t="s">
        <v>323</v>
      </c>
      <c r="C26" s="4" t="s">
        <v>282</v>
      </c>
      <c r="D26" s="4"/>
      <c r="E26" s="4"/>
      <c r="F26" s="4"/>
      <c r="G26" s="4" t="s">
        <v>286</v>
      </c>
      <c r="H26" s="4" t="s">
        <v>324</v>
      </c>
      <c r="I26" s="4" t="s">
        <v>325</v>
      </c>
      <c r="J26" s="6"/>
    </row>
    <row r="27" spans="1:10" ht="45" customHeight="1" x14ac:dyDescent="0.25">
      <c r="A27" s="16" t="str">
        <f>IF(C27="","",C27&amp;COUNTIF($C$5:C27,C27))</f>
        <v>FR23</v>
      </c>
      <c r="B27" s="4" t="s">
        <v>326</v>
      </c>
      <c r="C27" s="4" t="s">
        <v>282</v>
      </c>
      <c r="D27" s="4"/>
      <c r="E27" s="4"/>
      <c r="F27" s="4"/>
      <c r="G27" s="4" t="s">
        <v>283</v>
      </c>
      <c r="H27" s="4" t="s">
        <v>324</v>
      </c>
      <c r="I27" s="4" t="s">
        <v>327</v>
      </c>
      <c r="J27" s="6"/>
    </row>
    <row r="28" spans="1:10" ht="58.5" customHeight="1" x14ac:dyDescent="0.25">
      <c r="A28" s="16" t="str">
        <f>IF(C28="","",C28&amp;COUNTIF($C$5:C28,C28))</f>
        <v>FR24</v>
      </c>
      <c r="B28" s="4" t="s">
        <v>328</v>
      </c>
      <c r="C28" s="4" t="s">
        <v>282</v>
      </c>
      <c r="D28" s="4"/>
      <c r="E28" s="4"/>
      <c r="F28" s="4"/>
      <c r="G28" s="4" t="s">
        <v>283</v>
      </c>
      <c r="H28" s="4" t="s">
        <v>329</v>
      </c>
      <c r="I28" s="4" t="s">
        <v>214</v>
      </c>
      <c r="J28" s="6"/>
    </row>
    <row r="29" spans="1:10" ht="45" customHeight="1" x14ac:dyDescent="0.25">
      <c r="A29" s="16" t="str">
        <f>IF(C29="","",C29&amp;COUNTIF($C$5:C29,C29))</f>
        <v>FR25</v>
      </c>
      <c r="B29" s="4" t="s">
        <v>330</v>
      </c>
      <c r="C29" s="4" t="s">
        <v>282</v>
      </c>
      <c r="D29" s="4"/>
      <c r="E29" s="4"/>
      <c r="F29" s="4"/>
      <c r="G29" s="4" t="s">
        <v>283</v>
      </c>
      <c r="H29" s="4" t="s">
        <v>324</v>
      </c>
      <c r="I29" s="4" t="s">
        <v>331</v>
      </c>
      <c r="J29" s="6"/>
    </row>
    <row r="30" spans="1:10" ht="45" customHeight="1" x14ac:dyDescent="0.25">
      <c r="A30" s="16" t="str">
        <f>IF(C30="","",C30&amp;COUNTIF($C$5:C30,C30))</f>
        <v>NFR1</v>
      </c>
      <c r="B30" s="4" t="s">
        <v>332</v>
      </c>
      <c r="C30" s="4" t="s">
        <v>333</v>
      </c>
      <c r="D30" s="4" t="s">
        <v>334</v>
      </c>
      <c r="E30" s="4" t="s">
        <v>335</v>
      </c>
      <c r="F30" s="4" t="s">
        <v>336</v>
      </c>
      <c r="G30" s="4" t="s">
        <v>286</v>
      </c>
      <c r="H30" s="4" t="s">
        <v>284</v>
      </c>
      <c r="I30" s="4" t="s">
        <v>220</v>
      </c>
      <c r="J30" s="6"/>
    </row>
    <row r="31" spans="1:10" ht="58.5" customHeight="1" x14ac:dyDescent="0.25">
      <c r="A31" s="16" t="str">
        <f>IF(C31="","",C31&amp;COUNTIF($C$5:C31,C31))</f>
        <v>NFR2</v>
      </c>
      <c r="B31" s="4" t="s">
        <v>337</v>
      </c>
      <c r="C31" s="4" t="s">
        <v>333</v>
      </c>
      <c r="D31" s="4" t="s">
        <v>334</v>
      </c>
      <c r="E31" s="4" t="s">
        <v>338</v>
      </c>
      <c r="F31" s="4" t="s">
        <v>339</v>
      </c>
      <c r="G31" s="4" t="s">
        <v>286</v>
      </c>
      <c r="H31" s="4" t="s">
        <v>308</v>
      </c>
      <c r="I31" s="4" t="s">
        <v>340</v>
      </c>
      <c r="J31" s="6"/>
    </row>
    <row r="32" spans="1:10" ht="72" customHeight="1" x14ac:dyDescent="0.25">
      <c r="A32" s="16" t="str">
        <f>IF(C32="","",C32&amp;COUNTIF($C$5:C32,C32))</f>
        <v>NFR3</v>
      </c>
      <c r="B32" s="4" t="s">
        <v>341</v>
      </c>
      <c r="C32" s="4" t="s">
        <v>333</v>
      </c>
      <c r="D32" s="4" t="s">
        <v>334</v>
      </c>
      <c r="E32" s="4" t="s">
        <v>342</v>
      </c>
      <c r="F32" s="4" t="s">
        <v>343</v>
      </c>
      <c r="G32" s="4" t="s">
        <v>286</v>
      </c>
      <c r="H32" s="4" t="s">
        <v>295</v>
      </c>
      <c r="I32" s="4" t="s">
        <v>344</v>
      </c>
      <c r="J32" s="6"/>
    </row>
    <row r="33" spans="1:10" ht="45" customHeight="1" x14ac:dyDescent="0.25">
      <c r="A33" s="16" t="str">
        <f>IF(C33="","",C33&amp;COUNTIF($C$5:C33,C33))</f>
        <v>NFR4</v>
      </c>
      <c r="B33" s="4" t="s">
        <v>345</v>
      </c>
      <c r="C33" s="4" t="s">
        <v>333</v>
      </c>
      <c r="D33" s="4" t="s">
        <v>334</v>
      </c>
      <c r="E33" s="4" t="s">
        <v>346</v>
      </c>
      <c r="F33" s="4" t="s">
        <v>347</v>
      </c>
      <c r="G33" s="4" t="s">
        <v>286</v>
      </c>
      <c r="H33" s="4" t="s">
        <v>311</v>
      </c>
      <c r="I33" s="4" t="s">
        <v>220</v>
      </c>
      <c r="J33" s="6"/>
    </row>
    <row r="34" spans="1:10" ht="72" customHeight="1" x14ac:dyDescent="0.25">
      <c r="A34" s="16" t="str">
        <f>IF(C34="","",C34&amp;COUNTIF($C$5:C34,C34))</f>
        <v>NFR5</v>
      </c>
      <c r="B34" s="4" t="s">
        <v>348</v>
      </c>
      <c r="C34" s="4" t="s">
        <v>333</v>
      </c>
      <c r="D34" s="4" t="s">
        <v>349</v>
      </c>
      <c r="E34" s="4" t="s">
        <v>350</v>
      </c>
      <c r="F34" s="4" t="s">
        <v>351</v>
      </c>
      <c r="G34" s="4" t="s">
        <v>286</v>
      </c>
      <c r="H34" s="4" t="s">
        <v>284</v>
      </c>
      <c r="I34" s="4" t="s">
        <v>227</v>
      </c>
      <c r="J34" s="6"/>
    </row>
    <row r="35" spans="1:10" ht="58.5" customHeight="1" x14ac:dyDescent="0.25">
      <c r="A35" s="16" t="str">
        <f>IF(C35="","",C35&amp;COUNTIF($C$5:C35,C35))</f>
        <v>NFR6</v>
      </c>
      <c r="B35" s="4" t="s">
        <v>352</v>
      </c>
      <c r="C35" s="4" t="s">
        <v>333</v>
      </c>
      <c r="D35" s="4" t="s">
        <v>349</v>
      </c>
      <c r="E35" s="4" t="s">
        <v>353</v>
      </c>
      <c r="F35" s="4" t="s">
        <v>354</v>
      </c>
      <c r="G35" s="4" t="s">
        <v>286</v>
      </c>
      <c r="H35" s="4" t="s">
        <v>305</v>
      </c>
      <c r="I35" s="4" t="s">
        <v>355</v>
      </c>
      <c r="J35" s="6"/>
    </row>
    <row r="36" spans="1:10" ht="58.5" customHeight="1" x14ac:dyDescent="0.25">
      <c r="A36" s="16" t="str">
        <f>IF(C36="","",C36&amp;COUNTIF($C$5:C36,C36))</f>
        <v>NFR7</v>
      </c>
      <c r="B36" s="4" t="s">
        <v>356</v>
      </c>
      <c r="C36" s="4" t="s">
        <v>333</v>
      </c>
      <c r="D36" s="4" t="s">
        <v>349</v>
      </c>
      <c r="E36" s="4" t="s">
        <v>357</v>
      </c>
      <c r="F36" s="4" t="s">
        <v>358</v>
      </c>
      <c r="G36" s="4" t="s">
        <v>286</v>
      </c>
      <c r="H36" s="4" t="s">
        <v>284</v>
      </c>
      <c r="I36" s="4" t="s">
        <v>233</v>
      </c>
      <c r="J36" s="6"/>
    </row>
    <row r="37" spans="1:10" ht="58.5" customHeight="1" x14ac:dyDescent="0.25">
      <c r="A37" s="16" t="str">
        <f>IF(C37="","",C37&amp;COUNTIF($C$5:C37,C37))</f>
        <v>NFR8</v>
      </c>
      <c r="B37" s="4" t="s">
        <v>359</v>
      </c>
      <c r="C37" s="4" t="s">
        <v>333</v>
      </c>
      <c r="D37" s="4" t="s">
        <v>360</v>
      </c>
      <c r="E37" s="4" t="s">
        <v>361</v>
      </c>
      <c r="F37" s="4" t="s">
        <v>362</v>
      </c>
      <c r="G37" s="4" t="s">
        <v>286</v>
      </c>
      <c r="H37" s="4" t="s">
        <v>324</v>
      </c>
      <c r="I37" s="4" t="s">
        <v>227</v>
      </c>
      <c r="J37" s="6"/>
    </row>
    <row r="38" spans="1:10" ht="72" customHeight="1" x14ac:dyDescent="0.25">
      <c r="A38" s="16" t="str">
        <f>IF(C38="","",C38&amp;COUNTIF($C$5:C38,C38))</f>
        <v>NFR9</v>
      </c>
      <c r="B38" s="4" t="s">
        <v>363</v>
      </c>
      <c r="C38" s="4" t="s">
        <v>333</v>
      </c>
      <c r="D38" s="4" t="s">
        <v>202</v>
      </c>
      <c r="E38" s="4" t="s">
        <v>364</v>
      </c>
      <c r="F38" s="4" t="s">
        <v>365</v>
      </c>
      <c r="G38" s="4" t="s">
        <v>286</v>
      </c>
      <c r="H38" s="4" t="s">
        <v>295</v>
      </c>
      <c r="I38" s="4" t="s">
        <v>201</v>
      </c>
      <c r="J38" s="6"/>
    </row>
    <row r="39" spans="1:10" ht="58.5" customHeight="1" x14ac:dyDescent="0.25">
      <c r="A39" s="16" t="str">
        <f>IF(C39="","",C39&amp;COUNTIF($C$5:C39,C39))</f>
        <v>NFR10</v>
      </c>
      <c r="B39" s="4" t="s">
        <v>366</v>
      </c>
      <c r="C39" s="4" t="s">
        <v>333</v>
      </c>
      <c r="D39" s="4" t="s">
        <v>202</v>
      </c>
      <c r="E39" s="4" t="s">
        <v>367</v>
      </c>
      <c r="F39" s="4" t="s">
        <v>368</v>
      </c>
      <c r="G39" s="4" t="s">
        <v>286</v>
      </c>
      <c r="H39" s="4" t="s">
        <v>308</v>
      </c>
      <c r="I39" s="4" t="s">
        <v>208</v>
      </c>
      <c r="J39" s="6"/>
    </row>
    <row r="40" spans="1:10" ht="72" customHeight="1" x14ac:dyDescent="0.25">
      <c r="A40" s="16" t="str">
        <f>IF(C40="","",C40&amp;COUNTIF($C$5:C40,C40))</f>
        <v>NFR11</v>
      </c>
      <c r="B40" s="4" t="s">
        <v>369</v>
      </c>
      <c r="C40" s="4" t="s">
        <v>333</v>
      </c>
      <c r="D40" s="4" t="s">
        <v>370</v>
      </c>
      <c r="E40" s="4" t="s">
        <v>371</v>
      </c>
      <c r="F40" s="4" t="s">
        <v>372</v>
      </c>
      <c r="G40" s="4" t="s">
        <v>283</v>
      </c>
      <c r="H40" s="4" t="s">
        <v>284</v>
      </c>
      <c r="I40" s="4" t="s">
        <v>239</v>
      </c>
      <c r="J40" s="6"/>
    </row>
    <row r="41" spans="1:10" ht="45" customHeight="1" x14ac:dyDescent="0.25">
      <c r="A41" s="16" t="str">
        <f>IF(C41="","",C41&amp;COUNTIF($C$5:C41,C41))</f>
        <v>NFR12</v>
      </c>
      <c r="B41" s="4" t="s">
        <v>373</v>
      </c>
      <c r="C41" s="4" t="s">
        <v>333</v>
      </c>
      <c r="D41" s="4" t="s">
        <v>374</v>
      </c>
      <c r="E41" s="4" t="s">
        <v>375</v>
      </c>
      <c r="F41" s="4" t="s">
        <v>376</v>
      </c>
      <c r="G41" s="4" t="s">
        <v>283</v>
      </c>
      <c r="H41" s="4" t="s">
        <v>284</v>
      </c>
      <c r="I41" s="4" t="s">
        <v>253</v>
      </c>
      <c r="J41" s="6"/>
    </row>
    <row r="42" spans="1:10" ht="58.5" customHeight="1" x14ac:dyDescent="0.25">
      <c r="A42" s="16" t="str">
        <f>IF(C42="","",C42&amp;COUNTIF($C$5:C42,C42))</f>
        <v>DR1</v>
      </c>
      <c r="B42" s="4" t="s">
        <v>377</v>
      </c>
      <c r="C42" s="4" t="s">
        <v>378</v>
      </c>
      <c r="D42" s="4"/>
      <c r="E42" s="4" t="s">
        <v>379</v>
      </c>
      <c r="F42" s="4"/>
      <c r="G42" s="4" t="s">
        <v>286</v>
      </c>
      <c r="H42" s="4" t="s">
        <v>284</v>
      </c>
      <c r="I42" s="4" t="s">
        <v>110</v>
      </c>
      <c r="J42" s="6"/>
    </row>
    <row r="43" spans="1:10" ht="45" customHeight="1" x14ac:dyDescent="0.25">
      <c r="A43" s="16" t="str">
        <f>IF(C43="","",C43&amp;COUNTIF($C$5:C43,C43))</f>
        <v>DR2</v>
      </c>
      <c r="B43" s="4" t="s">
        <v>380</v>
      </c>
      <c r="C43" s="4" t="s">
        <v>378</v>
      </c>
      <c r="D43" s="4"/>
      <c r="E43" s="4" t="s">
        <v>381</v>
      </c>
      <c r="F43" s="4"/>
      <c r="G43" s="4" t="s">
        <v>286</v>
      </c>
      <c r="H43" s="4" t="s">
        <v>295</v>
      </c>
      <c r="I43" s="4" t="s">
        <v>382</v>
      </c>
      <c r="J43" s="6"/>
    </row>
    <row r="44" spans="1:10" ht="45" customHeight="1" x14ac:dyDescent="0.25">
      <c r="A44" s="16" t="str">
        <f>IF(C44="","",C44&amp;COUNTIF($C$5:C44,C44))</f>
        <v>DR3</v>
      </c>
      <c r="B44" s="4" t="s">
        <v>383</v>
      </c>
      <c r="C44" s="4" t="s">
        <v>378</v>
      </c>
      <c r="D44" s="4"/>
      <c r="E44" s="4" t="s">
        <v>384</v>
      </c>
      <c r="F44" s="4"/>
      <c r="G44" s="4" t="s">
        <v>286</v>
      </c>
      <c r="H44" s="4" t="s">
        <v>308</v>
      </c>
      <c r="I44" s="4" t="s">
        <v>137</v>
      </c>
      <c r="J44" s="6"/>
    </row>
    <row r="45" spans="1:10" ht="45" customHeight="1" x14ac:dyDescent="0.25">
      <c r="A45" s="16" t="str">
        <f>IF(C45="","",C45&amp;COUNTIF($C$5:C45,C45))</f>
        <v>DR4</v>
      </c>
      <c r="B45" s="4" t="s">
        <v>385</v>
      </c>
      <c r="C45" s="4" t="s">
        <v>378</v>
      </c>
      <c r="D45" s="4"/>
      <c r="E45" s="4" t="s">
        <v>386</v>
      </c>
      <c r="F45" s="4"/>
      <c r="G45" s="4" t="s">
        <v>286</v>
      </c>
      <c r="H45" s="4" t="s">
        <v>311</v>
      </c>
      <c r="I45" s="4" t="s">
        <v>195</v>
      </c>
      <c r="J45" s="6"/>
    </row>
    <row r="46" spans="1:10" ht="45" customHeight="1" x14ac:dyDescent="0.25">
      <c r="A46" s="16" t="str">
        <f>IF(C46="","",C46&amp;COUNTIF($C$5:C46,C46))</f>
        <v>DR5</v>
      </c>
      <c r="B46" s="4" t="s">
        <v>387</v>
      </c>
      <c r="C46" s="4" t="s">
        <v>378</v>
      </c>
      <c r="D46" s="4"/>
      <c r="E46" s="4" t="s">
        <v>388</v>
      </c>
      <c r="F46" s="4"/>
      <c r="G46" s="4" t="s">
        <v>286</v>
      </c>
      <c r="H46" s="4" t="s">
        <v>284</v>
      </c>
      <c r="I46" s="4" t="s">
        <v>201</v>
      </c>
      <c r="J46" s="6"/>
    </row>
    <row r="47" spans="1:10" ht="45" customHeight="1" x14ac:dyDescent="0.25">
      <c r="A47" s="16" t="str">
        <f>IF(C47="","",C47&amp;COUNTIF($C$5:C47,C47))</f>
        <v>DR6</v>
      </c>
      <c r="B47" s="4" t="s">
        <v>389</v>
      </c>
      <c r="C47" s="4" t="s">
        <v>378</v>
      </c>
      <c r="D47" s="4"/>
      <c r="E47" s="4" t="s">
        <v>390</v>
      </c>
      <c r="F47" s="4"/>
      <c r="G47" s="4" t="s">
        <v>283</v>
      </c>
      <c r="H47" s="4" t="s">
        <v>324</v>
      </c>
      <c r="I47" s="4" t="s">
        <v>260</v>
      </c>
      <c r="J47" s="6"/>
    </row>
    <row r="48" spans="1:10" ht="45" customHeight="1" x14ac:dyDescent="0.25">
      <c r="A48" s="16" t="str">
        <f>IF(C48="","",C48&amp;COUNTIF($C$5:C48,C48))</f>
        <v>DR7</v>
      </c>
      <c r="B48" s="4" t="s">
        <v>391</v>
      </c>
      <c r="C48" s="4" t="s">
        <v>378</v>
      </c>
      <c r="D48" s="4"/>
      <c r="E48" s="4" t="s">
        <v>392</v>
      </c>
      <c r="F48" s="4"/>
      <c r="G48" s="4" t="s">
        <v>283</v>
      </c>
      <c r="H48" s="4" t="s">
        <v>284</v>
      </c>
      <c r="I48" s="4" t="s">
        <v>239</v>
      </c>
      <c r="J48" s="6"/>
    </row>
    <row r="49" spans="1:10" ht="45" customHeight="1" x14ac:dyDescent="0.25">
      <c r="A49" s="16" t="str">
        <f>IF(C49="","",C49&amp;COUNTIF($C$5:C49,C49))</f>
        <v>DR8</v>
      </c>
      <c r="B49" s="4" t="s">
        <v>393</v>
      </c>
      <c r="C49" s="4" t="s">
        <v>378</v>
      </c>
      <c r="D49" s="4"/>
      <c r="E49" s="4" t="s">
        <v>394</v>
      </c>
      <c r="F49" s="4"/>
      <c r="G49" s="4" t="s">
        <v>286</v>
      </c>
      <c r="H49" s="4" t="s">
        <v>305</v>
      </c>
      <c r="I49" s="4" t="s">
        <v>163</v>
      </c>
      <c r="J49" s="6"/>
    </row>
    <row r="50" spans="1:10" ht="30" customHeight="1" x14ac:dyDescent="0.25">
      <c r="A50" s="16" t="str">
        <f>IF(C50="","",C50&amp;COUNTIF($C$5:C50,C50))</f>
        <v/>
      </c>
      <c r="B50" s="4"/>
      <c r="C50" s="4"/>
      <c r="D50" s="4"/>
      <c r="E50" s="4"/>
      <c r="F50" s="4"/>
      <c r="G50" s="4"/>
      <c r="H50" s="4"/>
      <c r="I50" s="4"/>
      <c r="J50" s="6"/>
    </row>
    <row r="51" spans="1:10" ht="30" customHeight="1" x14ac:dyDescent="0.25">
      <c r="A51" s="16" t="str">
        <f>IF(C51="","",C51&amp;COUNTIF($C$5:C51,C51))</f>
        <v/>
      </c>
      <c r="B51" s="4"/>
      <c r="C51" s="4"/>
      <c r="D51" s="4"/>
      <c r="E51" s="4"/>
      <c r="F51" s="4"/>
      <c r="G51" s="4"/>
      <c r="H51" s="4"/>
      <c r="I51" s="4"/>
      <c r="J51" s="6"/>
    </row>
    <row r="52" spans="1:10" ht="30" customHeight="1" x14ac:dyDescent="0.25">
      <c r="A52" s="16" t="str">
        <f>IF(C52="","",C52&amp;COUNTIF($C$5:C52,C52))</f>
        <v/>
      </c>
      <c r="B52" s="4"/>
      <c r="C52" s="4"/>
      <c r="D52" s="4"/>
      <c r="E52" s="4"/>
      <c r="F52" s="4"/>
      <c r="G52" s="4"/>
      <c r="H52" s="4"/>
      <c r="I52" s="4"/>
      <c r="J52" s="6"/>
    </row>
    <row r="53" spans="1:10" ht="30" customHeight="1" x14ac:dyDescent="0.25">
      <c r="A53" s="16" t="str">
        <f>IF(C53="","",C53&amp;COUNTIF($C$5:C53,C53))</f>
        <v/>
      </c>
      <c r="B53" s="4"/>
      <c r="C53" s="4"/>
      <c r="D53" s="4"/>
      <c r="E53" s="4"/>
      <c r="F53" s="4"/>
      <c r="G53" s="4"/>
      <c r="H53" s="4"/>
      <c r="I53" s="4"/>
      <c r="J53" s="6"/>
    </row>
    <row r="54" spans="1:10" ht="30" customHeight="1" x14ac:dyDescent="0.25">
      <c r="A54" s="16" t="str">
        <f>IF(C54="","",C54&amp;COUNTIF($C$5:C54,C54))</f>
        <v/>
      </c>
      <c r="B54" s="4"/>
      <c r="C54" s="4"/>
      <c r="D54" s="4"/>
      <c r="E54" s="4"/>
      <c r="F54" s="4"/>
      <c r="G54" s="4"/>
      <c r="H54" s="4"/>
      <c r="I54" s="4"/>
      <c r="J54" s="6"/>
    </row>
    <row r="56" spans="1:10" ht="15" customHeight="1" x14ac:dyDescent="0.25">
      <c r="B56" s="9" t="s">
        <v>395</v>
      </c>
      <c r="C56" s="10">
        <f>COUNTIF(C5:C54,"FR")</f>
        <v>25</v>
      </c>
    </row>
    <row r="57" spans="1:10" ht="15" customHeight="1" x14ac:dyDescent="0.25">
      <c r="B57" s="9" t="s">
        <v>396</v>
      </c>
      <c r="C57" s="10">
        <f>COUNTIF(C5:C54,"NFR")</f>
        <v>12</v>
      </c>
    </row>
    <row r="58" spans="1:10" ht="15" customHeight="1" x14ac:dyDescent="0.25">
      <c r="B58" s="9" t="s">
        <v>397</v>
      </c>
      <c r="C58" s="10">
        <f>COUNTIF(C5:C54,"DR")</f>
        <v>8</v>
      </c>
    </row>
    <row r="59" spans="1:10" ht="15" customHeight="1" x14ac:dyDescent="0.25">
      <c r="B59" s="9" t="s">
        <v>398</v>
      </c>
      <c r="C59" s="10">
        <f>COUNTIFS(C5:C54,"NFR",E5:E54,"")</f>
        <v>0</v>
      </c>
    </row>
    <row r="60" spans="1:10" ht="15" customHeight="1" x14ac:dyDescent="0.25">
      <c r="B60" s="9" t="s">
        <v>399</v>
      </c>
      <c r="C60" s="10">
        <f>COUNTIF(D5:D54,"Reliability")</f>
        <v>3</v>
      </c>
    </row>
    <row r="61" spans="1:10" ht="15" customHeight="1" x14ac:dyDescent="0.25">
      <c r="B61" s="9" t="s">
        <v>400</v>
      </c>
      <c r="C61" s="10">
        <f>COUNTIF(D5:D54,"Response time")</f>
        <v>4</v>
      </c>
    </row>
    <row r="62" spans="1:10" ht="25.5" customHeight="1" x14ac:dyDescent="0.25">
      <c r="B62" s="9" t="s">
        <v>401</v>
      </c>
      <c r="C62" s="10" t="str">
        <f>IF(AND(C59=0,C60&gt;=1,C61&gt;=1),"OK","Check NFRs")</f>
        <v>OK</v>
      </c>
    </row>
  </sheetData>
  <conditionalFormatting sqref="C62">
    <cfRule type="expression" dxfId="6" priority="3">
      <formula>C62&lt;&gt;"OK"</formula>
    </cfRule>
  </conditionalFormatting>
  <conditionalFormatting sqref="E5:E54">
    <cfRule type="expression" dxfId="5" priority="2">
      <formula>AND($C5="NFR",$E5="",$B5&lt;&gt;"")</formula>
    </cfRule>
  </conditionalFormatting>
  <dataValidations count="3">
    <dataValidation type="list" allowBlank="1" showErrorMessage="1" error="Choose a value from the list." sqref="C5:C54" xr:uid="{00000000-0002-0000-0300-000000000000}">
      <formula1>"FR,NFR,DR"</formula1>
      <formula2>0</formula2>
    </dataValidation>
    <dataValidation type="list" allowBlank="1" showErrorMessage="1" error="Choose a value from the list." sqref="D5:D54" xr:uid="{00000000-0002-0000-0300-000001000000}">
      <formula1>"Reliability,Response time,Availability,Security,Usability,Capacity,Maintainability,Other"</formula1>
      <formula2>0</formula2>
    </dataValidation>
    <dataValidation type="list" allowBlank="1" showErrorMessage="1" error="Choose a value from the list." sqref="G5:G54" xr:uid="{00000000-0002-0000-0300-000002000000}">
      <formula1>"High,Medium,Low"</formula1>
      <formula2>0</formula2>
    </dataValidation>
  </dataValidations>
  <pageMargins left="0.75" right="0.75" top="1" bottom="1" header="0.511811023622047" footer="0.511811023622047"/>
  <pageSetup fitToHeight="0" orientation="landscape"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6"/>
  <sheetViews>
    <sheetView showGridLines="0" zoomScaleNormal="100" workbookViewId="0">
      <pane xSplit="1" ySplit="4" topLeftCell="B5" activePane="bottomRight" state="frozen"/>
      <selection pane="topRight" activeCell="B1" sqref="B1"/>
      <selection pane="bottomLeft" activeCell="A8" sqref="A8"/>
      <selection pane="bottomRight" activeCell="E5" sqref="E5"/>
    </sheetView>
  </sheetViews>
  <sheetFormatPr defaultColWidth="8.7109375" defaultRowHeight="15" x14ac:dyDescent="0.25"/>
  <cols>
    <col min="1" max="1" width="9" customWidth="1"/>
    <col min="2" max="2" width="32" customWidth="1"/>
    <col min="3" max="3" width="22" customWidth="1"/>
    <col min="4" max="4" width="44" customWidth="1"/>
    <col min="5" max="5" width="22" customWidth="1"/>
    <col min="6" max="7" width="14" customWidth="1"/>
    <col min="8" max="8" width="12" customWidth="1"/>
    <col min="9" max="9" width="26" customWidth="1"/>
  </cols>
  <sheetData>
    <row r="1" spans="1:9" ht="19.5" customHeight="1" x14ac:dyDescent="0.3">
      <c r="A1" s="1" t="s">
        <v>402</v>
      </c>
    </row>
    <row r="2" spans="1:9" ht="15" customHeight="1" x14ac:dyDescent="0.25">
      <c r="A2" s="2" t="s">
        <v>403</v>
      </c>
    </row>
    <row r="4" spans="1:9" ht="33.75" customHeight="1" x14ac:dyDescent="0.25">
      <c r="A4" s="7" t="s">
        <v>272</v>
      </c>
      <c r="B4" s="11" t="s">
        <v>279</v>
      </c>
      <c r="C4" s="11" t="s">
        <v>404</v>
      </c>
      <c r="D4" s="11" t="s">
        <v>405</v>
      </c>
      <c r="E4" s="11" t="s">
        <v>406</v>
      </c>
      <c r="F4" s="11" t="s">
        <v>407</v>
      </c>
      <c r="G4" s="11" t="s">
        <v>408</v>
      </c>
      <c r="H4" s="11" t="s">
        <v>409</v>
      </c>
      <c r="I4" s="15" t="s">
        <v>100</v>
      </c>
    </row>
    <row r="5" spans="1:9" ht="30" customHeight="1" x14ac:dyDescent="0.25">
      <c r="A5" s="16" t="s">
        <v>284</v>
      </c>
      <c r="B5" s="4" t="s">
        <v>410</v>
      </c>
      <c r="C5" s="4" t="s">
        <v>159</v>
      </c>
      <c r="D5" s="4" t="s">
        <v>411</v>
      </c>
      <c r="E5" s="4" t="s">
        <v>412</v>
      </c>
      <c r="F5" s="4" t="s">
        <v>413</v>
      </c>
      <c r="G5" s="4" t="s">
        <v>414</v>
      </c>
      <c r="H5" s="4" t="s">
        <v>78</v>
      </c>
      <c r="I5" s="6"/>
    </row>
    <row r="6" spans="1:9" ht="30" customHeight="1" x14ac:dyDescent="0.25">
      <c r="A6" s="16" t="s">
        <v>295</v>
      </c>
      <c r="B6" s="4" t="s">
        <v>415</v>
      </c>
      <c r="C6" s="4" t="s">
        <v>159</v>
      </c>
      <c r="D6" s="4" t="s">
        <v>416</v>
      </c>
      <c r="E6" s="4" t="s">
        <v>417</v>
      </c>
      <c r="F6" s="4" t="s">
        <v>413</v>
      </c>
      <c r="G6" s="4" t="s">
        <v>418</v>
      </c>
      <c r="H6" s="4" t="s">
        <v>78</v>
      </c>
      <c r="I6" s="6"/>
    </row>
    <row r="7" spans="1:9" ht="30" customHeight="1" x14ac:dyDescent="0.25">
      <c r="A7" s="16" t="s">
        <v>297</v>
      </c>
      <c r="B7" s="4" t="s">
        <v>419</v>
      </c>
      <c r="C7" s="4" t="s">
        <v>159</v>
      </c>
      <c r="D7" s="4" t="s">
        <v>420</v>
      </c>
      <c r="E7" s="4" t="s">
        <v>421</v>
      </c>
      <c r="F7" s="4" t="s">
        <v>413</v>
      </c>
      <c r="G7" s="4" t="s">
        <v>422</v>
      </c>
      <c r="H7" s="4" t="s">
        <v>78</v>
      </c>
      <c r="I7" s="6"/>
    </row>
    <row r="8" spans="1:9" ht="30" customHeight="1" x14ac:dyDescent="0.25">
      <c r="A8" s="16" t="s">
        <v>300</v>
      </c>
      <c r="B8" s="4" t="s">
        <v>423</v>
      </c>
      <c r="C8" s="4" t="s">
        <v>159</v>
      </c>
      <c r="D8" s="4" t="s">
        <v>424</v>
      </c>
      <c r="E8" s="4" t="s">
        <v>425</v>
      </c>
      <c r="F8" s="4" t="s">
        <v>413</v>
      </c>
      <c r="G8" s="4" t="s">
        <v>422</v>
      </c>
      <c r="H8" s="4" t="s">
        <v>78</v>
      </c>
      <c r="I8" s="6"/>
    </row>
    <row r="9" spans="1:9" ht="30" customHeight="1" x14ac:dyDescent="0.25">
      <c r="A9" s="16" t="s">
        <v>311</v>
      </c>
      <c r="B9" s="4" t="s">
        <v>426</v>
      </c>
      <c r="C9" s="4" t="s">
        <v>427</v>
      </c>
      <c r="D9" s="4" t="s">
        <v>428</v>
      </c>
      <c r="E9" s="4" t="s">
        <v>429</v>
      </c>
      <c r="F9" s="4" t="s">
        <v>413</v>
      </c>
      <c r="G9" s="4" t="s">
        <v>414</v>
      </c>
      <c r="H9" s="4" t="s">
        <v>78</v>
      </c>
      <c r="I9" s="6"/>
    </row>
    <row r="10" spans="1:9" ht="30" customHeight="1" x14ac:dyDescent="0.25">
      <c r="A10" s="16" t="s">
        <v>305</v>
      </c>
      <c r="B10" s="4" t="s">
        <v>430</v>
      </c>
      <c r="C10" s="4" t="s">
        <v>431</v>
      </c>
      <c r="D10" s="4" t="s">
        <v>432</v>
      </c>
      <c r="E10" s="4" t="s">
        <v>433</v>
      </c>
      <c r="F10" s="4" t="s">
        <v>413</v>
      </c>
      <c r="G10" s="4" t="s">
        <v>434</v>
      </c>
      <c r="H10" s="4" t="s">
        <v>78</v>
      </c>
      <c r="I10" s="6"/>
    </row>
    <row r="11" spans="1:9" ht="30" customHeight="1" x14ac:dyDescent="0.25">
      <c r="A11" s="16" t="s">
        <v>329</v>
      </c>
      <c r="B11" s="4" t="s">
        <v>435</v>
      </c>
      <c r="C11" s="4" t="s">
        <v>436</v>
      </c>
      <c r="D11" s="4" t="s">
        <v>437</v>
      </c>
      <c r="E11" s="4" t="s">
        <v>438</v>
      </c>
      <c r="F11" s="4" t="s">
        <v>413</v>
      </c>
      <c r="G11" s="4" t="s">
        <v>439</v>
      </c>
      <c r="H11" s="4" t="s">
        <v>78</v>
      </c>
      <c r="I11" s="6"/>
    </row>
    <row r="12" spans="1:9" ht="30" customHeight="1" x14ac:dyDescent="0.25">
      <c r="A12" s="16" t="s">
        <v>324</v>
      </c>
      <c r="B12" s="4" t="s">
        <v>440</v>
      </c>
      <c r="C12" s="4" t="s">
        <v>119</v>
      </c>
      <c r="D12" s="4" t="s">
        <v>441</v>
      </c>
      <c r="E12" s="4" t="s">
        <v>442</v>
      </c>
      <c r="F12" s="4" t="s">
        <v>413</v>
      </c>
      <c r="G12" s="4" t="s">
        <v>439</v>
      </c>
      <c r="H12" s="4" t="s">
        <v>78</v>
      </c>
      <c r="I12" s="6"/>
    </row>
    <row r="13" spans="1:9" ht="30" customHeight="1" x14ac:dyDescent="0.25">
      <c r="A13" s="16"/>
      <c r="B13" s="4"/>
      <c r="C13" s="4"/>
      <c r="D13" s="4"/>
      <c r="E13" s="4"/>
      <c r="F13" s="4"/>
      <c r="G13" s="4"/>
      <c r="H13" s="4"/>
      <c r="I13" s="6"/>
    </row>
    <row r="14" spans="1:9" ht="30" customHeight="1" x14ac:dyDescent="0.25">
      <c r="A14" s="16"/>
      <c r="B14" s="4"/>
      <c r="C14" s="4"/>
      <c r="D14" s="4"/>
      <c r="E14" s="4"/>
      <c r="F14" s="4"/>
      <c r="G14" s="4"/>
      <c r="H14" s="4"/>
      <c r="I14" s="6"/>
    </row>
    <row r="15" spans="1:9" ht="30" customHeight="1" x14ac:dyDescent="0.25">
      <c r="A15" s="16"/>
      <c r="B15" s="4"/>
      <c r="C15" s="4"/>
      <c r="D15" s="4"/>
      <c r="E15" s="4"/>
      <c r="F15" s="4"/>
      <c r="G15" s="4"/>
      <c r="H15" s="4"/>
      <c r="I15" s="6"/>
    </row>
    <row r="16" spans="1:9" ht="30" customHeight="1" x14ac:dyDescent="0.25">
      <c r="A16" s="16"/>
      <c r="B16" s="4"/>
      <c r="C16" s="4"/>
      <c r="D16" s="4"/>
      <c r="E16" s="4"/>
      <c r="F16" s="4"/>
      <c r="G16" s="4"/>
      <c r="H16" s="4"/>
      <c r="I16" s="6"/>
    </row>
  </sheetData>
  <dataValidations count="2">
    <dataValidation type="list" allowBlank="1" showErrorMessage="1" error="Choose a value from the list." sqref="F5:F16" xr:uid="{00000000-0002-0000-0400-000000000000}">
      <formula1>"Yes,Partly,No"</formula1>
      <formula2>0</formula2>
    </dataValidation>
    <dataValidation type="list" allowBlank="1" showErrorMessage="1" error="Choose a value from the list." sqref="G5:G16" xr:uid="{00000000-0002-0000-0400-000001000000}">
      <formula1>"Yes,No,N/A"</formula1>
      <formula2>0</formula2>
    </dataValidation>
  </dataValidations>
  <pageMargins left="0.75" right="0.75" top="1" bottom="1" header="0.511811023622047" footer="0.511811023622047"/>
  <pageSetup fitToHeight="0" orientation="landscape"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32"/>
  <sheetViews>
    <sheetView showGridLines="0" zoomScale="70" zoomScaleNormal="70" workbookViewId="0">
      <pane xSplit="2" ySplit="4" topLeftCell="C8" activePane="bottomRight" state="frozen"/>
      <selection pane="topRight" activeCell="C1" sqref="C1"/>
      <selection pane="bottomLeft" activeCell="A5" sqref="A5"/>
      <selection pane="bottomRight" activeCell="D25" sqref="D25"/>
    </sheetView>
  </sheetViews>
  <sheetFormatPr defaultColWidth="8.7109375" defaultRowHeight="15" x14ac:dyDescent="0.25"/>
  <cols>
    <col min="1" max="1" width="7" customWidth="1"/>
    <col min="2" max="2" width="40" customWidth="1"/>
    <col min="3" max="3" width="10" customWidth="1"/>
    <col min="4" max="4" width="22" customWidth="1"/>
    <col min="5" max="5" width="12" customWidth="1"/>
    <col min="6" max="6" width="34" customWidth="1"/>
    <col min="7" max="7" width="14" customWidth="1"/>
    <col min="8" max="8" width="12" customWidth="1"/>
    <col min="9" max="9" width="26" customWidth="1"/>
  </cols>
  <sheetData>
    <row r="1" spans="1:9" ht="19.5" customHeight="1" x14ac:dyDescent="0.3">
      <c r="A1" s="1" t="s">
        <v>37</v>
      </c>
    </row>
    <row r="2" spans="1:9" ht="15" customHeight="1" x14ac:dyDescent="0.25">
      <c r="A2" s="2" t="s">
        <v>443</v>
      </c>
    </row>
    <row r="4" spans="1:9" ht="33.75" customHeight="1" x14ac:dyDescent="0.25">
      <c r="A4" s="7" t="s">
        <v>444</v>
      </c>
      <c r="B4" s="7" t="s">
        <v>445</v>
      </c>
      <c r="C4" s="7" t="s">
        <v>446</v>
      </c>
      <c r="D4" s="11" t="s">
        <v>447</v>
      </c>
      <c r="E4" s="11" t="s">
        <v>409</v>
      </c>
      <c r="F4" s="11" t="s">
        <v>448</v>
      </c>
      <c r="G4" s="11" t="s">
        <v>99</v>
      </c>
      <c r="H4" s="7" t="s">
        <v>449</v>
      </c>
      <c r="I4" s="15" t="s">
        <v>100</v>
      </c>
    </row>
    <row r="5" spans="1:9" ht="25.5" customHeight="1" x14ac:dyDescent="0.25">
      <c r="A5" s="18" t="s">
        <v>450</v>
      </c>
      <c r="B5" s="5" t="s">
        <v>451</v>
      </c>
      <c r="C5" s="10">
        <v>5</v>
      </c>
      <c r="D5" s="4" t="s">
        <v>452</v>
      </c>
      <c r="E5" s="4" t="s">
        <v>750</v>
      </c>
      <c r="F5" s="4" t="s">
        <v>453</v>
      </c>
      <c r="G5" s="4" t="s">
        <v>482</v>
      </c>
      <c r="H5" s="19">
        <f t="shared" ref="H5:H27" si="0">IF(G5="","",IF(G5="Done",1,IF(G5="In review",0.75,IF(G5="Draft",0.4,0))))</f>
        <v>1</v>
      </c>
      <c r="I5" s="6"/>
    </row>
    <row r="6" spans="1:9" ht="25.5" customHeight="1" x14ac:dyDescent="0.25">
      <c r="A6" s="18" t="s">
        <v>454</v>
      </c>
      <c r="B6" s="5" t="s">
        <v>455</v>
      </c>
      <c r="C6" s="10">
        <v>15</v>
      </c>
      <c r="D6" s="4" t="s">
        <v>456</v>
      </c>
      <c r="E6" s="4" t="s">
        <v>750</v>
      </c>
      <c r="F6" s="4" t="s">
        <v>457</v>
      </c>
      <c r="G6" s="4" t="s">
        <v>482</v>
      </c>
      <c r="H6" s="19">
        <f t="shared" si="0"/>
        <v>1</v>
      </c>
      <c r="I6" s="6"/>
    </row>
    <row r="7" spans="1:9" ht="25.5" customHeight="1" x14ac:dyDescent="0.25">
      <c r="A7" s="18" t="s">
        <v>458</v>
      </c>
      <c r="B7" s="5" t="s">
        <v>459</v>
      </c>
      <c r="C7" s="10">
        <v>5</v>
      </c>
      <c r="D7" s="4" t="s">
        <v>460</v>
      </c>
      <c r="E7" s="4" t="s">
        <v>78</v>
      </c>
      <c r="F7" s="4" t="s">
        <v>461</v>
      </c>
      <c r="G7" s="4" t="s">
        <v>482</v>
      </c>
      <c r="H7" s="19">
        <f t="shared" si="0"/>
        <v>1</v>
      </c>
      <c r="I7" s="6"/>
    </row>
    <row r="8" spans="1:9" ht="25.5" customHeight="1" x14ac:dyDescent="0.25">
      <c r="A8" s="18" t="s">
        <v>458</v>
      </c>
      <c r="B8" s="5" t="s">
        <v>462</v>
      </c>
      <c r="C8" s="10">
        <v>5</v>
      </c>
      <c r="D8" s="4" t="s">
        <v>463</v>
      </c>
      <c r="E8" s="4" t="s">
        <v>78</v>
      </c>
      <c r="F8" s="4" t="s">
        <v>464</v>
      </c>
      <c r="G8" s="4" t="s">
        <v>482</v>
      </c>
      <c r="H8" s="19">
        <f t="shared" si="0"/>
        <v>1</v>
      </c>
      <c r="I8" s="6"/>
    </row>
    <row r="9" spans="1:9" ht="25.5" customHeight="1" x14ac:dyDescent="0.25">
      <c r="A9" s="18" t="s">
        <v>465</v>
      </c>
      <c r="B9" s="5" t="s">
        <v>466</v>
      </c>
      <c r="C9" s="10">
        <v>5</v>
      </c>
      <c r="D9" s="4" t="s">
        <v>460</v>
      </c>
      <c r="E9" s="4" t="s">
        <v>78</v>
      </c>
      <c r="F9" s="4" t="s">
        <v>467</v>
      </c>
      <c r="G9" s="4" t="s">
        <v>482</v>
      </c>
      <c r="H9" s="19">
        <f t="shared" si="0"/>
        <v>1</v>
      </c>
      <c r="I9" s="6"/>
    </row>
    <row r="10" spans="1:9" ht="25.5" customHeight="1" x14ac:dyDescent="0.25">
      <c r="A10" s="18" t="s">
        <v>465</v>
      </c>
      <c r="B10" s="5" t="s">
        <v>468</v>
      </c>
      <c r="C10" s="10">
        <v>5</v>
      </c>
      <c r="D10" s="4" t="s">
        <v>460</v>
      </c>
      <c r="E10" s="4" t="s">
        <v>78</v>
      </c>
      <c r="F10" s="4" t="s">
        <v>469</v>
      </c>
      <c r="G10" s="4" t="s">
        <v>482</v>
      </c>
      <c r="H10" s="19">
        <f t="shared" si="0"/>
        <v>1</v>
      </c>
      <c r="I10" s="6"/>
    </row>
    <row r="11" spans="1:9" ht="48" customHeight="1" x14ac:dyDescent="0.25">
      <c r="A11" s="18" t="s">
        <v>470</v>
      </c>
      <c r="B11" s="5" t="s">
        <v>471</v>
      </c>
      <c r="C11" s="10">
        <v>5</v>
      </c>
      <c r="D11" s="4" t="s">
        <v>460</v>
      </c>
      <c r="E11" s="4" t="s">
        <v>472</v>
      </c>
      <c r="F11" s="4" t="s">
        <v>473</v>
      </c>
      <c r="G11" s="4" t="s">
        <v>482</v>
      </c>
      <c r="H11" s="19">
        <f t="shared" si="0"/>
        <v>1</v>
      </c>
      <c r="I11" s="6"/>
    </row>
    <row r="12" spans="1:9" ht="48" customHeight="1" x14ac:dyDescent="0.25">
      <c r="A12" s="18" t="s">
        <v>470</v>
      </c>
      <c r="B12" s="5" t="s">
        <v>474</v>
      </c>
      <c r="C12" s="10">
        <v>5</v>
      </c>
      <c r="D12" s="4" t="s">
        <v>460</v>
      </c>
      <c r="E12" s="4" t="s">
        <v>472</v>
      </c>
      <c r="F12" s="4" t="s">
        <v>475</v>
      </c>
      <c r="G12" s="4" t="s">
        <v>482</v>
      </c>
      <c r="H12" s="19">
        <f t="shared" si="0"/>
        <v>1</v>
      </c>
      <c r="I12" s="6"/>
    </row>
    <row r="13" spans="1:9" ht="48" customHeight="1" x14ac:dyDescent="0.25">
      <c r="A13" s="18" t="s">
        <v>470</v>
      </c>
      <c r="B13" s="5" t="s">
        <v>476</v>
      </c>
      <c r="C13" s="10">
        <v>5</v>
      </c>
      <c r="D13" s="4" t="s">
        <v>460</v>
      </c>
      <c r="E13" s="4" t="s">
        <v>472</v>
      </c>
      <c r="F13" s="4" t="s">
        <v>477</v>
      </c>
      <c r="G13" s="4" t="s">
        <v>482</v>
      </c>
      <c r="H13" s="19">
        <f t="shared" si="0"/>
        <v>1</v>
      </c>
      <c r="I13" s="6"/>
    </row>
    <row r="14" spans="1:9" ht="25.5" customHeight="1" x14ac:dyDescent="0.25">
      <c r="A14" s="18" t="s">
        <v>478</v>
      </c>
      <c r="B14" s="5" t="s">
        <v>479</v>
      </c>
      <c r="C14" s="10">
        <v>5</v>
      </c>
      <c r="D14" s="4" t="s">
        <v>480</v>
      </c>
      <c r="E14" s="4" t="s">
        <v>85</v>
      </c>
      <c r="F14" s="4" t="s">
        <v>481</v>
      </c>
      <c r="G14" s="4" t="s">
        <v>482</v>
      </c>
      <c r="H14" s="19">
        <f t="shared" si="0"/>
        <v>1</v>
      </c>
      <c r="I14" s="6"/>
    </row>
    <row r="15" spans="1:9" ht="48" customHeight="1" x14ac:dyDescent="0.25">
      <c r="A15" s="18" t="s">
        <v>483</v>
      </c>
      <c r="B15" s="5" t="s">
        <v>484</v>
      </c>
      <c r="C15" s="10">
        <v>5</v>
      </c>
      <c r="D15" s="4" t="s">
        <v>460</v>
      </c>
      <c r="E15" s="4" t="s">
        <v>472</v>
      </c>
      <c r="F15" s="4" t="s">
        <v>485</v>
      </c>
      <c r="G15" s="4" t="s">
        <v>482</v>
      </c>
      <c r="H15" s="19">
        <f t="shared" si="0"/>
        <v>1</v>
      </c>
      <c r="I15" s="6"/>
    </row>
    <row r="16" spans="1:9" ht="25.5" customHeight="1" x14ac:dyDescent="0.25">
      <c r="A16" s="18" t="s">
        <v>483</v>
      </c>
      <c r="B16" s="5" t="s">
        <v>486</v>
      </c>
      <c r="C16" s="10">
        <v>5</v>
      </c>
      <c r="D16" s="4" t="s">
        <v>487</v>
      </c>
      <c r="E16" s="4" t="s">
        <v>85</v>
      </c>
      <c r="F16" s="4" t="s">
        <v>488</v>
      </c>
      <c r="G16" s="4" t="s">
        <v>482</v>
      </c>
      <c r="H16" s="19">
        <f t="shared" si="0"/>
        <v>1</v>
      </c>
      <c r="I16" s="6"/>
    </row>
    <row r="17" spans="1:9" ht="25.5" customHeight="1" x14ac:dyDescent="0.25">
      <c r="A17" s="18" t="s">
        <v>489</v>
      </c>
      <c r="B17" s="5" t="s">
        <v>490</v>
      </c>
      <c r="C17" s="10">
        <v>4</v>
      </c>
      <c r="D17" s="4" t="s">
        <v>739</v>
      </c>
      <c r="E17" s="4" t="s">
        <v>556</v>
      </c>
      <c r="F17" s="4" t="s">
        <v>740</v>
      </c>
      <c r="G17" s="4" t="s">
        <v>482</v>
      </c>
      <c r="H17" s="19">
        <f t="shared" si="0"/>
        <v>1</v>
      </c>
      <c r="I17" s="6"/>
    </row>
    <row r="18" spans="1:9" ht="25.5" customHeight="1" x14ac:dyDescent="0.25">
      <c r="A18" s="18" t="s">
        <v>489</v>
      </c>
      <c r="B18" s="5" t="s">
        <v>491</v>
      </c>
      <c r="C18" s="10">
        <v>3</v>
      </c>
      <c r="D18" s="4" t="s">
        <v>741</v>
      </c>
      <c r="E18" s="4" t="s">
        <v>556</v>
      </c>
      <c r="F18" s="4" t="s">
        <v>742</v>
      </c>
      <c r="G18" s="4" t="s">
        <v>482</v>
      </c>
      <c r="H18" s="19">
        <f t="shared" si="0"/>
        <v>1</v>
      </c>
      <c r="I18" s="6"/>
    </row>
    <row r="19" spans="1:9" ht="25.5" customHeight="1" x14ac:dyDescent="0.25">
      <c r="A19" s="18" t="s">
        <v>489</v>
      </c>
      <c r="B19" s="5" t="s">
        <v>492</v>
      </c>
      <c r="C19" s="10">
        <v>3</v>
      </c>
      <c r="D19" s="4" t="s">
        <v>743</v>
      </c>
      <c r="E19" s="4" t="s">
        <v>556</v>
      </c>
      <c r="F19" s="4" t="s">
        <v>754</v>
      </c>
      <c r="G19" s="4" t="s">
        <v>755</v>
      </c>
      <c r="H19" s="19">
        <f t="shared" si="0"/>
        <v>0</v>
      </c>
      <c r="I19" s="6"/>
    </row>
    <row r="20" spans="1:9" ht="25.5" customHeight="1" x14ac:dyDescent="0.25">
      <c r="A20" s="18" t="s">
        <v>493</v>
      </c>
      <c r="B20" s="5" t="s">
        <v>494</v>
      </c>
      <c r="C20" s="10">
        <v>5</v>
      </c>
      <c r="D20" s="4" t="s">
        <v>744</v>
      </c>
      <c r="E20" s="4" t="s">
        <v>556</v>
      </c>
      <c r="F20" s="4" t="s">
        <v>745</v>
      </c>
      <c r="G20" s="4" t="s">
        <v>482</v>
      </c>
      <c r="H20" s="19">
        <f t="shared" si="0"/>
        <v>1</v>
      </c>
      <c r="I20" s="6"/>
    </row>
    <row r="21" spans="1:9" ht="25.5" customHeight="1" x14ac:dyDescent="0.25">
      <c r="A21" s="18" t="s">
        <v>493</v>
      </c>
      <c r="B21" s="5" t="s">
        <v>495</v>
      </c>
      <c r="C21" s="10">
        <v>5</v>
      </c>
      <c r="D21" s="4" t="s">
        <v>746</v>
      </c>
      <c r="E21" s="4" t="s">
        <v>556</v>
      </c>
      <c r="F21" s="4" t="s">
        <v>747</v>
      </c>
      <c r="G21" s="4" t="s">
        <v>482</v>
      </c>
      <c r="H21" s="19">
        <f t="shared" si="0"/>
        <v>1</v>
      </c>
      <c r="I21" s="6"/>
    </row>
    <row r="22" spans="1:9" ht="25.5" customHeight="1" x14ac:dyDescent="0.25">
      <c r="A22" s="18" t="s">
        <v>496</v>
      </c>
      <c r="B22" s="5" t="s">
        <v>497</v>
      </c>
      <c r="C22" s="10">
        <v>4</v>
      </c>
      <c r="D22" s="4" t="s">
        <v>498</v>
      </c>
      <c r="E22" s="4" t="s">
        <v>85</v>
      </c>
      <c r="F22" s="4" t="s">
        <v>499</v>
      </c>
      <c r="G22" s="4" t="s">
        <v>482</v>
      </c>
      <c r="H22" s="19">
        <f t="shared" si="0"/>
        <v>1</v>
      </c>
      <c r="I22" s="6"/>
    </row>
    <row r="23" spans="1:9" ht="25.5" customHeight="1" x14ac:dyDescent="0.25">
      <c r="A23" s="18" t="s">
        <v>496</v>
      </c>
      <c r="B23" s="5" t="s">
        <v>500</v>
      </c>
      <c r="C23" s="10">
        <v>3</v>
      </c>
      <c r="D23" s="4" t="s">
        <v>501</v>
      </c>
      <c r="E23" s="4" t="s">
        <v>85</v>
      </c>
      <c r="F23" s="4" t="s">
        <v>762</v>
      </c>
      <c r="G23" s="4" t="s">
        <v>482</v>
      </c>
      <c r="H23" s="19">
        <f t="shared" si="0"/>
        <v>1</v>
      </c>
      <c r="I23" s="6"/>
    </row>
    <row r="24" spans="1:9" ht="25.5" customHeight="1" x14ac:dyDescent="0.25">
      <c r="A24" s="18" t="s">
        <v>496</v>
      </c>
      <c r="B24" s="5" t="s">
        <v>502</v>
      </c>
      <c r="C24" s="10">
        <v>3</v>
      </c>
      <c r="D24" s="4" t="s">
        <v>503</v>
      </c>
      <c r="E24" s="4" t="s">
        <v>85</v>
      </c>
      <c r="F24" s="4" t="s">
        <v>763</v>
      </c>
      <c r="G24" s="4" t="s">
        <v>482</v>
      </c>
      <c r="H24" s="19">
        <f t="shared" si="0"/>
        <v>1</v>
      </c>
      <c r="I24" s="6"/>
    </row>
    <row r="25" spans="1:9" ht="25.5" customHeight="1" x14ac:dyDescent="0.25">
      <c r="A25" s="18" t="s">
        <v>57</v>
      </c>
      <c r="B25" s="5" t="s">
        <v>504</v>
      </c>
      <c r="C25" s="10">
        <v>0</v>
      </c>
      <c r="D25" s="35" t="s">
        <v>759</v>
      </c>
      <c r="E25" s="35" t="s">
        <v>750</v>
      </c>
      <c r="F25" s="35" t="s">
        <v>758</v>
      </c>
      <c r="G25" s="4" t="s">
        <v>764</v>
      </c>
      <c r="H25" s="19">
        <f t="shared" si="0"/>
        <v>0.75</v>
      </c>
      <c r="I25" s="6"/>
    </row>
    <row r="26" spans="1:9" ht="25.5" customHeight="1" x14ac:dyDescent="0.25">
      <c r="A26" s="18" t="s">
        <v>57</v>
      </c>
      <c r="B26" s="5" t="s">
        <v>505</v>
      </c>
      <c r="C26" s="10">
        <v>0</v>
      </c>
      <c r="D26" s="4" t="s">
        <v>756</v>
      </c>
      <c r="E26" s="4" t="s">
        <v>556</v>
      </c>
      <c r="F26" s="4" t="s">
        <v>757</v>
      </c>
      <c r="G26" s="4" t="s">
        <v>482</v>
      </c>
      <c r="H26" s="19">
        <f t="shared" si="0"/>
        <v>1</v>
      </c>
      <c r="I26" s="6"/>
    </row>
    <row r="27" spans="1:9" ht="25.5" customHeight="1" x14ac:dyDescent="0.25">
      <c r="A27" s="18" t="s">
        <v>57</v>
      </c>
      <c r="B27" s="5" t="s">
        <v>506</v>
      </c>
      <c r="C27" s="10">
        <v>0</v>
      </c>
      <c r="D27" s="4" t="s">
        <v>765</v>
      </c>
      <c r="E27" s="4" t="s">
        <v>750</v>
      </c>
      <c r="F27" s="4" t="s">
        <v>766</v>
      </c>
      <c r="G27" s="4" t="s">
        <v>482</v>
      </c>
      <c r="H27" s="19">
        <f t="shared" si="0"/>
        <v>1</v>
      </c>
      <c r="I27" s="6"/>
    </row>
    <row r="29" spans="1:9" ht="15" customHeight="1" x14ac:dyDescent="0.25">
      <c r="B29" s="9" t="s">
        <v>507</v>
      </c>
      <c r="C29" s="19">
        <f>IFERROR(AVERAGE(H5:H27),"")</f>
        <v>0.94565217391304346</v>
      </c>
    </row>
    <row r="30" spans="1:9" ht="15" customHeight="1" x14ac:dyDescent="0.25">
      <c r="B30" s="9" t="s">
        <v>508</v>
      </c>
      <c r="C30" s="10" t="str">
        <f>COUNTIF(G5:G27,"Done")&amp;" of 23"</f>
        <v>21 of 23</v>
      </c>
    </row>
    <row r="32" spans="1:9" ht="15" customHeight="1" x14ac:dyDescent="0.25">
      <c r="A32" s="14" t="s">
        <v>509</v>
      </c>
    </row>
  </sheetData>
  <dataValidations count="1">
    <dataValidation type="list" allowBlank="1" showErrorMessage="1" error="Choose a value from the list." sqref="G5:G27" xr:uid="{00000000-0002-0000-0500-000000000000}">
      <formula1>"Not started,Draft,In review,Done"</formula1>
      <formula2>0</formula2>
    </dataValidation>
  </dataValidations>
  <pageMargins left="0.75" right="0.75" top="1" bottom="1" header="0.511811023622047" footer="0.511811023622047"/>
  <pageSetup fitToHeight="0" orientation="landscape"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F14"/>
  <sheetViews>
    <sheetView showGridLines="0" zoomScale="70" zoomScaleNormal="70" workbookViewId="0">
      <selection activeCell="H17" sqref="H17"/>
    </sheetView>
  </sheetViews>
  <sheetFormatPr defaultColWidth="8.7109375" defaultRowHeight="15" x14ac:dyDescent="0.25"/>
  <cols>
    <col min="1" max="1" width="7" customWidth="1"/>
    <col min="2" max="2" width="66" customWidth="1"/>
    <col min="3" max="3" width="26" customWidth="1"/>
    <col min="4" max="5" width="14" customWidth="1"/>
    <col min="6" max="6" width="30" customWidth="1"/>
  </cols>
  <sheetData>
    <row r="1" spans="1:6" ht="19.5" customHeight="1" x14ac:dyDescent="0.3">
      <c r="A1" s="1" t="s">
        <v>510</v>
      </c>
    </row>
    <row r="2" spans="1:6" ht="15" customHeight="1" x14ac:dyDescent="0.25">
      <c r="A2" s="2" t="s">
        <v>511</v>
      </c>
    </row>
    <row r="4" spans="1:6" ht="15" customHeight="1" x14ac:dyDescent="0.25">
      <c r="A4" s="7" t="s">
        <v>512</v>
      </c>
      <c r="B4" s="7" t="s">
        <v>74</v>
      </c>
      <c r="C4" s="7" t="s">
        <v>513</v>
      </c>
      <c r="D4" s="11" t="s">
        <v>514</v>
      </c>
      <c r="E4" s="15" t="s">
        <v>515</v>
      </c>
      <c r="F4" s="7" t="s">
        <v>516</v>
      </c>
    </row>
    <row r="5" spans="1:6" ht="30" customHeight="1" x14ac:dyDescent="0.25">
      <c r="A5" s="10">
        <v>1</v>
      </c>
      <c r="B5" s="5" t="s">
        <v>517</v>
      </c>
      <c r="C5" s="5" t="s">
        <v>518</v>
      </c>
      <c r="D5" s="20" t="s">
        <v>413</v>
      </c>
      <c r="E5" s="21"/>
      <c r="F5" s="22" t="s">
        <v>519</v>
      </c>
    </row>
    <row r="6" spans="1:6" ht="30" customHeight="1" x14ac:dyDescent="0.25">
      <c r="A6" s="10">
        <v>2</v>
      </c>
      <c r="B6" s="5" t="s">
        <v>520</v>
      </c>
      <c r="C6" s="5" t="s">
        <v>521</v>
      </c>
      <c r="D6" s="20" t="s">
        <v>413</v>
      </c>
      <c r="E6" s="21"/>
      <c r="F6" s="22" t="s">
        <v>522</v>
      </c>
    </row>
    <row r="7" spans="1:6" ht="94.5" customHeight="1" x14ac:dyDescent="0.25">
      <c r="A7" s="10">
        <v>3</v>
      </c>
      <c r="B7" s="5" t="s">
        <v>523</v>
      </c>
      <c r="C7" s="5" t="s">
        <v>524</v>
      </c>
      <c r="D7" s="20" t="s">
        <v>413</v>
      </c>
      <c r="E7" s="21"/>
      <c r="F7" s="22" t="s">
        <v>525</v>
      </c>
    </row>
    <row r="8" spans="1:6" ht="94.5" customHeight="1" x14ac:dyDescent="0.25">
      <c r="A8" s="10">
        <v>4</v>
      </c>
      <c r="B8" s="5" t="s">
        <v>526</v>
      </c>
      <c r="C8" s="5" t="s">
        <v>527</v>
      </c>
      <c r="D8" s="20" t="s">
        <v>413</v>
      </c>
      <c r="E8" s="21"/>
      <c r="F8" s="22" t="s">
        <v>528</v>
      </c>
    </row>
    <row r="9" spans="1:6" ht="94.5" customHeight="1" x14ac:dyDescent="0.25">
      <c r="A9" s="10">
        <v>5</v>
      </c>
      <c r="B9" s="5" t="s">
        <v>529</v>
      </c>
      <c r="C9" s="5" t="s">
        <v>530</v>
      </c>
      <c r="D9" s="20" t="s">
        <v>413</v>
      </c>
      <c r="E9" s="21"/>
      <c r="F9" s="22" t="s">
        <v>531</v>
      </c>
    </row>
    <row r="10" spans="1:6" ht="30" customHeight="1" x14ac:dyDescent="0.25">
      <c r="A10" s="10">
        <v>6</v>
      </c>
      <c r="B10" s="5" t="s">
        <v>532</v>
      </c>
      <c r="C10" s="5" t="s">
        <v>533</v>
      </c>
      <c r="D10" s="20" t="s">
        <v>413</v>
      </c>
      <c r="E10" s="21"/>
      <c r="F10" s="22" t="s">
        <v>534</v>
      </c>
    </row>
    <row r="11" spans="1:6" ht="94.5" customHeight="1" x14ac:dyDescent="0.25">
      <c r="A11" s="10">
        <v>7</v>
      </c>
      <c r="B11" s="5" t="s">
        <v>535</v>
      </c>
      <c r="C11" s="5" t="s">
        <v>536</v>
      </c>
      <c r="D11" s="20" t="s">
        <v>413</v>
      </c>
      <c r="E11" s="21"/>
      <c r="F11" s="36" t="s">
        <v>767</v>
      </c>
    </row>
    <row r="12" spans="1:6" ht="30" customHeight="1" x14ac:dyDescent="0.25">
      <c r="A12" s="10">
        <v>8</v>
      </c>
      <c r="B12" s="5" t="s">
        <v>537</v>
      </c>
      <c r="C12" s="5" t="s">
        <v>538</v>
      </c>
      <c r="D12" s="20" t="s">
        <v>413</v>
      </c>
      <c r="E12" s="21"/>
      <c r="F12" s="22" t="s">
        <v>539</v>
      </c>
    </row>
    <row r="13" spans="1:6" ht="94.5" customHeight="1" x14ac:dyDescent="0.25">
      <c r="A13" s="10">
        <v>9</v>
      </c>
      <c r="B13" s="5" t="s">
        <v>540</v>
      </c>
      <c r="C13" s="5" t="s">
        <v>541</v>
      </c>
      <c r="D13" s="20" t="s">
        <v>413</v>
      </c>
      <c r="E13" s="21"/>
      <c r="F13" s="22" t="s">
        <v>542</v>
      </c>
    </row>
    <row r="14" spans="1:6" ht="30" customHeight="1" x14ac:dyDescent="0.25">
      <c r="A14" s="10">
        <v>10</v>
      </c>
      <c r="B14" s="5" t="s">
        <v>543</v>
      </c>
      <c r="C14" s="5" t="s">
        <v>544</v>
      </c>
      <c r="D14" s="20" t="s">
        <v>413</v>
      </c>
      <c r="E14" s="21"/>
      <c r="F14" s="22" t="s">
        <v>545</v>
      </c>
    </row>
  </sheetData>
  <conditionalFormatting sqref="D5:E14">
    <cfRule type="cellIs" dxfId="4" priority="2" operator="equal">
      <formula>"Yes"</formula>
    </cfRule>
    <cfRule type="cellIs" dxfId="3" priority="3" operator="equal">
      <formula>"Partly"</formula>
    </cfRule>
    <cfRule type="cellIs" dxfId="2" priority="4" operator="equal">
      <formula>"No"</formula>
    </cfRule>
  </conditionalFormatting>
  <dataValidations count="1">
    <dataValidation type="list" allowBlank="1" sqref="D5:E14" xr:uid="{00000000-0002-0000-0600-000000000000}">
      <formula1>"Yes,Partly,No"</formula1>
      <formula2>0</formula2>
    </dataValidation>
  </dataValidations>
  <pageMargins left="0.75" right="0.75" top="1" bottom="1" header="0.511811023622047" footer="0.511811023622047"/>
  <pageSetup fitToHeight="0" orientation="landscape"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J51"/>
  <sheetViews>
    <sheetView showGridLines="0" zoomScaleNormal="100" workbookViewId="0">
      <pane xSplit="1" ySplit="4" topLeftCell="B15" activePane="bottomRight" state="frozen"/>
      <selection pane="topRight" activeCell="B1" sqref="B1"/>
      <selection pane="bottomLeft" activeCell="A20" sqref="A20"/>
      <selection pane="bottomRight" activeCell="I6" sqref="I6"/>
    </sheetView>
  </sheetViews>
  <sheetFormatPr defaultColWidth="8.7109375" defaultRowHeight="15" x14ac:dyDescent="0.25"/>
  <cols>
    <col min="1" max="1" width="6" customWidth="1"/>
    <col min="2" max="3" width="12" customWidth="1"/>
    <col min="4" max="4" width="16" customWidth="1"/>
    <col min="5" max="5" width="24" customWidth="1"/>
    <col min="6" max="6" width="44" customWidth="1"/>
    <col min="7" max="7" width="34" customWidth="1"/>
    <col min="8" max="8" width="14" customWidth="1"/>
    <col min="9" max="9" width="34" customWidth="1"/>
    <col min="10" max="10" width="28" customWidth="1"/>
  </cols>
  <sheetData>
    <row r="1" spans="1:10" ht="19.5" customHeight="1" x14ac:dyDescent="0.3">
      <c r="A1" s="1" t="s">
        <v>546</v>
      </c>
    </row>
    <row r="2" spans="1:10" ht="15" customHeight="1" x14ac:dyDescent="0.25">
      <c r="A2" s="2" t="s">
        <v>547</v>
      </c>
    </row>
    <row r="4" spans="1:10" ht="43.5" customHeight="1" x14ac:dyDescent="0.25">
      <c r="A4" s="7" t="s">
        <v>548</v>
      </c>
      <c r="B4" s="11" t="s">
        <v>549</v>
      </c>
      <c r="C4" s="11" t="s">
        <v>70</v>
      </c>
      <c r="D4" s="11" t="s">
        <v>447</v>
      </c>
      <c r="E4" s="11" t="s">
        <v>550</v>
      </c>
      <c r="F4" s="11" t="s">
        <v>551</v>
      </c>
      <c r="G4" s="11" t="s">
        <v>552</v>
      </c>
      <c r="H4" s="11" t="s">
        <v>553</v>
      </c>
      <c r="I4" s="11" t="s">
        <v>554</v>
      </c>
      <c r="J4" s="15" t="s">
        <v>100</v>
      </c>
    </row>
    <row r="5" spans="1:10" ht="57" customHeight="1" x14ac:dyDescent="0.25">
      <c r="A5" s="16" t="s">
        <v>450</v>
      </c>
      <c r="B5" s="4" t="s">
        <v>555</v>
      </c>
      <c r="C5" s="4" t="s">
        <v>556</v>
      </c>
      <c r="D5" s="4" t="s">
        <v>557</v>
      </c>
      <c r="E5" s="23" t="s">
        <v>558</v>
      </c>
      <c r="F5" s="4" t="s">
        <v>559</v>
      </c>
      <c r="G5" s="4" t="s">
        <v>560</v>
      </c>
      <c r="H5" s="4" t="s">
        <v>561</v>
      </c>
      <c r="I5" s="4" t="s">
        <v>562</v>
      </c>
      <c r="J5" s="6"/>
    </row>
    <row r="6" spans="1:10" ht="45.75" customHeight="1" x14ac:dyDescent="0.25">
      <c r="A6" s="16" t="s">
        <v>454</v>
      </c>
      <c r="B6" s="4" t="s">
        <v>555</v>
      </c>
      <c r="C6" s="23" t="s">
        <v>556</v>
      </c>
      <c r="D6" s="4" t="s">
        <v>557</v>
      </c>
      <c r="E6" s="4" t="s">
        <v>563</v>
      </c>
      <c r="F6" s="4" t="s">
        <v>564</v>
      </c>
      <c r="G6" s="4" t="s">
        <v>565</v>
      </c>
      <c r="H6" s="4" t="s">
        <v>566</v>
      </c>
      <c r="I6" s="4" t="s">
        <v>567</v>
      </c>
      <c r="J6" s="6"/>
    </row>
    <row r="7" spans="1:10" ht="150" customHeight="1" x14ac:dyDescent="0.25">
      <c r="A7" s="16" t="s">
        <v>458</v>
      </c>
      <c r="B7" s="4" t="s">
        <v>568</v>
      </c>
      <c r="C7" s="4" t="s">
        <v>472</v>
      </c>
      <c r="D7" s="4" t="s">
        <v>569</v>
      </c>
      <c r="E7" s="4" t="s">
        <v>570</v>
      </c>
      <c r="F7" s="4" t="s">
        <v>571</v>
      </c>
      <c r="G7" s="4" t="s">
        <v>572</v>
      </c>
      <c r="H7" s="4" t="s">
        <v>573</v>
      </c>
      <c r="I7" s="4" t="s">
        <v>574</v>
      </c>
      <c r="J7" s="6"/>
    </row>
    <row r="8" spans="1:10" ht="150" customHeight="1" x14ac:dyDescent="0.25">
      <c r="A8" s="16" t="s">
        <v>465</v>
      </c>
      <c r="B8" s="4" t="s">
        <v>568</v>
      </c>
      <c r="C8" s="4" t="s">
        <v>472</v>
      </c>
      <c r="D8" s="4" t="s">
        <v>569</v>
      </c>
      <c r="E8" s="4" t="s">
        <v>575</v>
      </c>
      <c r="F8" s="4" t="s">
        <v>576</v>
      </c>
      <c r="G8" s="4" t="s">
        <v>577</v>
      </c>
      <c r="H8" s="4" t="s">
        <v>573</v>
      </c>
      <c r="I8" s="4" t="s">
        <v>578</v>
      </c>
      <c r="J8" s="6"/>
    </row>
    <row r="9" spans="1:10" ht="150" customHeight="1" x14ac:dyDescent="0.25">
      <c r="A9" s="16" t="s">
        <v>470</v>
      </c>
      <c r="B9" s="4" t="s">
        <v>568</v>
      </c>
      <c r="C9" s="4" t="s">
        <v>472</v>
      </c>
      <c r="D9" s="4" t="s">
        <v>569</v>
      </c>
      <c r="E9" s="4" t="s">
        <v>579</v>
      </c>
      <c r="F9" s="4" t="s">
        <v>580</v>
      </c>
      <c r="G9" s="4" t="s">
        <v>581</v>
      </c>
      <c r="H9" s="4" t="s">
        <v>582</v>
      </c>
      <c r="I9" s="4" t="s">
        <v>583</v>
      </c>
      <c r="J9" s="6"/>
    </row>
    <row r="10" spans="1:10" ht="150" customHeight="1" x14ac:dyDescent="0.25">
      <c r="A10" s="16" t="s">
        <v>478</v>
      </c>
      <c r="B10" s="4" t="s">
        <v>555</v>
      </c>
      <c r="C10" s="4" t="s">
        <v>472</v>
      </c>
      <c r="D10" s="4" t="s">
        <v>569</v>
      </c>
      <c r="E10" s="4" t="s">
        <v>584</v>
      </c>
      <c r="F10" s="4" t="s">
        <v>585</v>
      </c>
      <c r="G10" s="4" t="s">
        <v>586</v>
      </c>
      <c r="H10" s="4" t="s">
        <v>573</v>
      </c>
      <c r="I10" s="4" t="s">
        <v>587</v>
      </c>
      <c r="J10" s="6"/>
    </row>
    <row r="11" spans="1:10" ht="150" customHeight="1" x14ac:dyDescent="0.25">
      <c r="A11" s="16" t="s">
        <v>483</v>
      </c>
      <c r="B11" s="4" t="s">
        <v>555</v>
      </c>
      <c r="C11" s="4" t="s">
        <v>472</v>
      </c>
      <c r="D11" s="4" t="s">
        <v>569</v>
      </c>
      <c r="E11" s="4" t="s">
        <v>588</v>
      </c>
      <c r="F11" s="4" t="s">
        <v>589</v>
      </c>
      <c r="G11" s="4" t="s">
        <v>590</v>
      </c>
      <c r="H11" s="4" t="s">
        <v>582</v>
      </c>
      <c r="I11" s="4" t="s">
        <v>591</v>
      </c>
      <c r="J11" s="6"/>
    </row>
    <row r="12" spans="1:10" ht="150" customHeight="1" x14ac:dyDescent="0.25">
      <c r="A12" s="16" t="s">
        <v>489</v>
      </c>
      <c r="B12" s="4" t="s">
        <v>555</v>
      </c>
      <c r="C12" s="4" t="s">
        <v>472</v>
      </c>
      <c r="D12" s="4" t="s">
        <v>569</v>
      </c>
      <c r="E12" s="4" t="s">
        <v>592</v>
      </c>
      <c r="F12" s="4" t="s">
        <v>593</v>
      </c>
      <c r="G12" s="4" t="s">
        <v>594</v>
      </c>
      <c r="H12" s="4" t="s">
        <v>582</v>
      </c>
      <c r="I12" s="4" t="s">
        <v>595</v>
      </c>
      <c r="J12" s="6"/>
    </row>
    <row r="13" spans="1:10" ht="150" customHeight="1" x14ac:dyDescent="0.25">
      <c r="A13" s="16" t="s">
        <v>493</v>
      </c>
      <c r="B13" s="4" t="s">
        <v>596</v>
      </c>
      <c r="C13" s="4" t="s">
        <v>472</v>
      </c>
      <c r="D13" s="4" t="s">
        <v>569</v>
      </c>
      <c r="E13" s="4" t="s">
        <v>597</v>
      </c>
      <c r="F13" s="4" t="s">
        <v>598</v>
      </c>
      <c r="G13" s="4" t="s">
        <v>599</v>
      </c>
      <c r="H13" s="4" t="s">
        <v>573</v>
      </c>
      <c r="I13" s="4" t="s">
        <v>600</v>
      </c>
      <c r="J13" s="6"/>
    </row>
    <row r="14" spans="1:10" ht="150" customHeight="1" x14ac:dyDescent="0.25">
      <c r="A14" s="16" t="s">
        <v>496</v>
      </c>
      <c r="B14" s="4" t="s">
        <v>596</v>
      </c>
      <c r="C14" s="4" t="s">
        <v>472</v>
      </c>
      <c r="D14" s="4" t="s">
        <v>569</v>
      </c>
      <c r="E14" s="4" t="s">
        <v>601</v>
      </c>
      <c r="F14" s="4" t="s">
        <v>602</v>
      </c>
      <c r="G14" s="4" t="s">
        <v>603</v>
      </c>
      <c r="H14" s="4" t="s">
        <v>582</v>
      </c>
      <c r="I14" s="4" t="s">
        <v>604</v>
      </c>
      <c r="J14" s="6"/>
    </row>
    <row r="15" spans="1:10" ht="150" customHeight="1" x14ac:dyDescent="0.25">
      <c r="A15" s="16" t="s">
        <v>605</v>
      </c>
      <c r="B15" s="4" t="s">
        <v>596</v>
      </c>
      <c r="C15" s="4" t="s">
        <v>472</v>
      </c>
      <c r="D15" s="4" t="s">
        <v>569</v>
      </c>
      <c r="E15" s="4" t="s">
        <v>606</v>
      </c>
      <c r="F15" s="4" t="s">
        <v>607</v>
      </c>
      <c r="G15" s="4" t="s">
        <v>608</v>
      </c>
      <c r="H15" s="4" t="s">
        <v>582</v>
      </c>
      <c r="I15" s="4" t="s">
        <v>609</v>
      </c>
      <c r="J15" s="6"/>
    </row>
    <row r="16" spans="1:10" ht="33.75" customHeight="1" x14ac:dyDescent="0.25">
      <c r="A16" s="16" t="s">
        <v>610</v>
      </c>
      <c r="B16" s="4" t="s">
        <v>611</v>
      </c>
      <c r="C16" s="4" t="s">
        <v>85</v>
      </c>
      <c r="D16" s="4" t="s">
        <v>612</v>
      </c>
      <c r="E16" s="4" t="s">
        <v>613</v>
      </c>
      <c r="F16" s="4" t="s">
        <v>614</v>
      </c>
      <c r="G16" s="4" t="s">
        <v>615</v>
      </c>
      <c r="H16" s="4" t="s">
        <v>582</v>
      </c>
      <c r="I16" s="4" t="s">
        <v>616</v>
      </c>
      <c r="J16" s="6"/>
    </row>
    <row r="17" spans="1:10" ht="33.75" customHeight="1" x14ac:dyDescent="0.25">
      <c r="A17" s="16" t="s">
        <v>617</v>
      </c>
      <c r="B17" s="4" t="s">
        <v>568</v>
      </c>
      <c r="C17" s="4" t="s">
        <v>85</v>
      </c>
      <c r="D17" s="4" t="s">
        <v>612</v>
      </c>
      <c r="E17" s="4" t="s">
        <v>618</v>
      </c>
      <c r="F17" s="4" t="s">
        <v>619</v>
      </c>
      <c r="G17" s="4" t="s">
        <v>620</v>
      </c>
      <c r="H17" s="4" t="s">
        <v>582</v>
      </c>
      <c r="I17" s="4" t="s">
        <v>621</v>
      </c>
      <c r="J17" s="6"/>
    </row>
    <row r="18" spans="1:10" ht="33.75" customHeight="1" x14ac:dyDescent="0.25">
      <c r="A18" s="16" t="s">
        <v>622</v>
      </c>
      <c r="B18" s="4" t="s">
        <v>568</v>
      </c>
      <c r="C18" s="4" t="s">
        <v>85</v>
      </c>
      <c r="D18" s="4" t="s">
        <v>612</v>
      </c>
      <c r="E18" s="4" t="s">
        <v>623</v>
      </c>
      <c r="F18" s="4" t="s">
        <v>624</v>
      </c>
      <c r="G18" s="4" t="s">
        <v>625</v>
      </c>
      <c r="H18" s="4" t="s">
        <v>582</v>
      </c>
      <c r="I18" s="4" t="s">
        <v>626</v>
      </c>
      <c r="J18" s="6"/>
    </row>
    <row r="19" spans="1:10" ht="33.75" customHeight="1" x14ac:dyDescent="0.25">
      <c r="A19" s="16" t="s">
        <v>627</v>
      </c>
      <c r="B19" s="4" t="s">
        <v>568</v>
      </c>
      <c r="C19" s="4" t="s">
        <v>85</v>
      </c>
      <c r="D19" s="4" t="s">
        <v>612</v>
      </c>
      <c r="E19" s="4" t="s">
        <v>628</v>
      </c>
      <c r="F19" s="4" t="s">
        <v>629</v>
      </c>
      <c r="G19" s="4" t="s">
        <v>630</v>
      </c>
      <c r="H19" s="4" t="s">
        <v>573</v>
      </c>
      <c r="I19" s="4" t="s">
        <v>631</v>
      </c>
      <c r="J19" s="6"/>
    </row>
    <row r="20" spans="1:10" ht="33.75" customHeight="1" x14ac:dyDescent="0.25">
      <c r="A20" s="16" t="s">
        <v>632</v>
      </c>
      <c r="B20" s="4"/>
      <c r="C20" s="4"/>
      <c r="D20" s="4"/>
      <c r="E20" s="4"/>
      <c r="F20" s="4"/>
      <c r="G20" s="4"/>
      <c r="H20" s="4"/>
      <c r="I20" s="4"/>
      <c r="J20" s="6"/>
    </row>
    <row r="21" spans="1:10" ht="33.75" customHeight="1" x14ac:dyDescent="0.25">
      <c r="A21" s="16" t="s">
        <v>633</v>
      </c>
      <c r="B21" s="4"/>
      <c r="C21" s="4"/>
      <c r="D21" s="4"/>
      <c r="E21" s="4"/>
      <c r="F21" s="4"/>
      <c r="G21" s="4"/>
      <c r="H21" s="4"/>
      <c r="I21" s="4"/>
      <c r="J21" s="6"/>
    </row>
    <row r="22" spans="1:10" ht="33.75" customHeight="1" x14ac:dyDescent="0.25">
      <c r="A22" s="16" t="s">
        <v>634</v>
      </c>
      <c r="B22" s="4"/>
      <c r="C22" s="4"/>
      <c r="D22" s="4"/>
      <c r="E22" s="4"/>
      <c r="F22" s="4"/>
      <c r="G22" s="4"/>
      <c r="H22" s="4"/>
      <c r="I22" s="4"/>
      <c r="J22" s="6"/>
    </row>
    <row r="23" spans="1:10" ht="33.75" customHeight="1" x14ac:dyDescent="0.25">
      <c r="A23" s="16" t="s">
        <v>635</v>
      </c>
      <c r="B23" s="4"/>
      <c r="C23" s="4"/>
      <c r="D23" s="4"/>
      <c r="E23" s="4"/>
      <c r="F23" s="4"/>
      <c r="G23" s="4"/>
      <c r="H23" s="4"/>
      <c r="I23" s="4"/>
      <c r="J23" s="6"/>
    </row>
    <row r="24" spans="1:10" ht="33.75" customHeight="1" x14ac:dyDescent="0.25">
      <c r="A24" s="16" t="s">
        <v>636</v>
      </c>
      <c r="B24" s="4"/>
      <c r="C24" s="4"/>
      <c r="D24" s="4"/>
      <c r="E24" s="4"/>
      <c r="F24" s="4"/>
      <c r="G24" s="4"/>
      <c r="H24" s="4"/>
      <c r="I24" s="4"/>
      <c r="J24" s="6"/>
    </row>
    <row r="25" spans="1:10" ht="33.75" customHeight="1" x14ac:dyDescent="0.25">
      <c r="A25" s="16" t="s">
        <v>637</v>
      </c>
      <c r="B25" s="4"/>
      <c r="C25" s="4"/>
      <c r="D25" s="4"/>
      <c r="E25" s="4"/>
      <c r="F25" s="4"/>
      <c r="G25" s="4"/>
      <c r="H25" s="4"/>
      <c r="I25" s="4"/>
      <c r="J25" s="6"/>
    </row>
    <row r="26" spans="1:10" ht="33.75" customHeight="1" x14ac:dyDescent="0.25">
      <c r="A26" s="16" t="s">
        <v>638</v>
      </c>
      <c r="B26" s="4"/>
      <c r="C26" s="4"/>
      <c r="D26" s="4"/>
      <c r="E26" s="4"/>
      <c r="F26" s="4"/>
      <c r="G26" s="4"/>
      <c r="H26" s="4"/>
      <c r="I26" s="4"/>
      <c r="J26" s="6"/>
    </row>
    <row r="27" spans="1:10" ht="33.75" customHeight="1" x14ac:dyDescent="0.25">
      <c r="A27" s="16" t="s">
        <v>639</v>
      </c>
      <c r="B27" s="4"/>
      <c r="C27" s="4"/>
      <c r="D27" s="4"/>
      <c r="E27" s="4"/>
      <c r="F27" s="4"/>
      <c r="G27" s="4"/>
      <c r="H27" s="4"/>
      <c r="I27" s="4"/>
      <c r="J27" s="6"/>
    </row>
    <row r="28" spans="1:10" ht="33.75" customHeight="1" x14ac:dyDescent="0.25">
      <c r="A28" s="16" t="s">
        <v>640</v>
      </c>
      <c r="B28" s="4"/>
      <c r="C28" s="4"/>
      <c r="D28" s="4"/>
      <c r="E28" s="4"/>
      <c r="F28" s="4"/>
      <c r="G28" s="4"/>
      <c r="H28" s="4"/>
      <c r="I28" s="4"/>
      <c r="J28" s="6"/>
    </row>
    <row r="29" spans="1:10" ht="33.75" customHeight="1" x14ac:dyDescent="0.25">
      <c r="A29" s="16" t="s">
        <v>641</v>
      </c>
      <c r="B29" s="4"/>
      <c r="C29" s="4"/>
      <c r="D29" s="4"/>
      <c r="E29" s="4"/>
      <c r="F29" s="4"/>
      <c r="G29" s="4"/>
      <c r="H29" s="4"/>
      <c r="I29" s="4"/>
      <c r="J29" s="6"/>
    </row>
    <row r="30" spans="1:10" ht="33.75" customHeight="1" x14ac:dyDescent="0.25">
      <c r="A30" s="16" t="s">
        <v>642</v>
      </c>
      <c r="B30" s="4"/>
      <c r="C30" s="4"/>
      <c r="D30" s="4"/>
      <c r="E30" s="4"/>
      <c r="F30" s="4"/>
      <c r="G30" s="4"/>
      <c r="H30" s="4"/>
      <c r="I30" s="4"/>
      <c r="J30" s="6"/>
    </row>
    <row r="31" spans="1:10" ht="33.75" customHeight="1" x14ac:dyDescent="0.25">
      <c r="A31" s="16" t="s">
        <v>643</v>
      </c>
      <c r="B31" s="4"/>
      <c r="C31" s="4"/>
      <c r="D31" s="4"/>
      <c r="E31" s="4"/>
      <c r="F31" s="4"/>
      <c r="G31" s="4"/>
      <c r="H31" s="4"/>
      <c r="I31" s="4"/>
      <c r="J31" s="6"/>
    </row>
    <row r="32" spans="1:10" ht="33.75" customHeight="1" x14ac:dyDescent="0.25">
      <c r="A32" s="16" t="s">
        <v>644</v>
      </c>
      <c r="B32" s="4"/>
      <c r="C32" s="4"/>
      <c r="D32" s="4"/>
      <c r="E32" s="4"/>
      <c r="F32" s="4"/>
      <c r="G32" s="4"/>
      <c r="H32" s="4"/>
      <c r="I32" s="4"/>
      <c r="J32" s="6"/>
    </row>
    <row r="33" spans="1:10" ht="33.75" customHeight="1" x14ac:dyDescent="0.25">
      <c r="A33" s="16" t="s">
        <v>645</v>
      </c>
      <c r="B33" s="4"/>
      <c r="C33" s="4"/>
      <c r="D33" s="4"/>
      <c r="E33" s="4"/>
      <c r="F33" s="4"/>
      <c r="G33" s="4"/>
      <c r="H33" s="4"/>
      <c r="I33" s="4"/>
      <c r="J33" s="6"/>
    </row>
    <row r="34" spans="1:10" ht="33.75" customHeight="1" x14ac:dyDescent="0.25">
      <c r="A34" s="16" t="s">
        <v>646</v>
      </c>
      <c r="B34" s="4"/>
      <c r="C34" s="4"/>
      <c r="D34" s="4"/>
      <c r="E34" s="4"/>
      <c r="F34" s="4"/>
      <c r="G34" s="4"/>
      <c r="H34" s="4"/>
      <c r="I34" s="4"/>
      <c r="J34" s="6"/>
    </row>
    <row r="35" spans="1:10" ht="33.75" customHeight="1" x14ac:dyDescent="0.25">
      <c r="A35" s="16" t="s">
        <v>647</v>
      </c>
      <c r="B35" s="4"/>
      <c r="C35" s="4"/>
      <c r="D35" s="4"/>
      <c r="E35" s="4"/>
      <c r="F35" s="4"/>
      <c r="G35" s="4"/>
      <c r="H35" s="4"/>
      <c r="I35" s="4"/>
      <c r="J35" s="6"/>
    </row>
    <row r="36" spans="1:10" ht="33.75" customHeight="1" x14ac:dyDescent="0.25">
      <c r="A36" s="16" t="s">
        <v>648</v>
      </c>
      <c r="B36" s="4"/>
      <c r="C36" s="4"/>
      <c r="D36" s="4"/>
      <c r="E36" s="4"/>
      <c r="F36" s="4"/>
      <c r="G36" s="4"/>
      <c r="H36" s="4"/>
      <c r="I36" s="4"/>
      <c r="J36" s="6"/>
    </row>
    <row r="37" spans="1:10" ht="33.75" customHeight="1" x14ac:dyDescent="0.25">
      <c r="A37" s="16" t="s">
        <v>649</v>
      </c>
      <c r="B37" s="4"/>
      <c r="C37" s="4"/>
      <c r="D37" s="4"/>
      <c r="E37" s="4"/>
      <c r="F37" s="4"/>
      <c r="G37" s="4"/>
      <c r="H37" s="4"/>
      <c r="I37" s="4"/>
      <c r="J37" s="6"/>
    </row>
    <row r="38" spans="1:10" ht="33.75" customHeight="1" x14ac:dyDescent="0.25">
      <c r="A38" s="16" t="s">
        <v>650</v>
      </c>
      <c r="B38" s="4"/>
      <c r="C38" s="4"/>
      <c r="D38" s="4"/>
      <c r="E38" s="4"/>
      <c r="F38" s="4"/>
      <c r="G38" s="4"/>
      <c r="H38" s="4"/>
      <c r="I38" s="4"/>
      <c r="J38" s="6"/>
    </row>
    <row r="39" spans="1:10" ht="33.75" customHeight="1" x14ac:dyDescent="0.25">
      <c r="A39" s="16" t="s">
        <v>651</v>
      </c>
      <c r="B39" s="4"/>
      <c r="C39" s="4"/>
      <c r="D39" s="4"/>
      <c r="E39" s="4"/>
      <c r="F39" s="4"/>
      <c r="G39" s="4"/>
      <c r="H39" s="4"/>
      <c r="I39" s="4"/>
      <c r="J39" s="6"/>
    </row>
    <row r="40" spans="1:10" ht="33.75" customHeight="1" x14ac:dyDescent="0.25">
      <c r="A40" s="16" t="s">
        <v>652</v>
      </c>
      <c r="B40" s="4"/>
      <c r="C40" s="4"/>
      <c r="D40" s="4"/>
      <c r="E40" s="4"/>
      <c r="F40" s="4"/>
      <c r="G40" s="4"/>
      <c r="H40" s="4"/>
      <c r="I40" s="4"/>
      <c r="J40" s="6"/>
    </row>
    <row r="41" spans="1:10" ht="33.75" customHeight="1" x14ac:dyDescent="0.25">
      <c r="A41" s="16" t="s">
        <v>653</v>
      </c>
      <c r="B41" s="4"/>
      <c r="C41" s="4"/>
      <c r="D41" s="4"/>
      <c r="E41" s="4"/>
      <c r="F41" s="4"/>
      <c r="G41" s="4"/>
      <c r="H41" s="4"/>
      <c r="I41" s="4"/>
      <c r="J41" s="6"/>
    </row>
    <row r="42" spans="1:10" ht="33.75" customHeight="1" x14ac:dyDescent="0.25">
      <c r="A42" s="16" t="s">
        <v>654</v>
      </c>
      <c r="B42" s="4"/>
      <c r="C42" s="4"/>
      <c r="D42" s="4"/>
      <c r="E42" s="4"/>
      <c r="F42" s="4"/>
      <c r="G42" s="4"/>
      <c r="H42" s="4"/>
      <c r="I42" s="4"/>
      <c r="J42" s="6"/>
    </row>
    <row r="43" spans="1:10" ht="33.75" customHeight="1" x14ac:dyDescent="0.25">
      <c r="A43" s="16" t="s">
        <v>655</v>
      </c>
      <c r="B43" s="4"/>
      <c r="C43" s="4"/>
      <c r="D43" s="4"/>
      <c r="E43" s="4"/>
      <c r="F43" s="4"/>
      <c r="G43" s="4"/>
      <c r="H43" s="4"/>
      <c r="I43" s="4"/>
      <c r="J43" s="6"/>
    </row>
    <row r="44" spans="1:10" ht="33.75" customHeight="1" x14ac:dyDescent="0.25">
      <c r="A44" s="16" t="s">
        <v>656</v>
      </c>
      <c r="B44" s="4"/>
      <c r="C44" s="4"/>
      <c r="D44" s="4"/>
      <c r="E44" s="4"/>
      <c r="F44" s="4"/>
      <c r="G44" s="4"/>
      <c r="H44" s="4"/>
      <c r="I44" s="4"/>
      <c r="J44" s="6"/>
    </row>
    <row r="46" spans="1:10" ht="15" customHeight="1" x14ac:dyDescent="0.25">
      <c r="E46" s="9" t="s">
        <v>582</v>
      </c>
      <c r="F46" s="10">
        <f>COUNTIF(H5:H44,"Kept")</f>
        <v>8</v>
      </c>
    </row>
    <row r="47" spans="1:10" ht="15" customHeight="1" x14ac:dyDescent="0.25">
      <c r="E47" s="9" t="s">
        <v>573</v>
      </c>
      <c r="F47" s="10">
        <f>COUNTIF(H5:H44,"Changed")</f>
        <v>5</v>
      </c>
    </row>
    <row r="48" spans="1:10" ht="15" customHeight="1" x14ac:dyDescent="0.25">
      <c r="E48" s="9" t="s">
        <v>657</v>
      </c>
      <c r="F48" s="10">
        <f>COUNTIF(H5:H44,"Rejected")</f>
        <v>0</v>
      </c>
    </row>
    <row r="49" spans="1:6" ht="15" customHeight="1" x14ac:dyDescent="0.25">
      <c r="E49" s="9" t="s">
        <v>658</v>
      </c>
      <c r="F49" s="10">
        <f>COUNTIFS(H5:H44,"&lt;&gt;",I5:I44,"")</f>
        <v>0</v>
      </c>
    </row>
    <row r="51" spans="1:6" ht="15" customHeight="1" x14ac:dyDescent="0.25">
      <c r="A51" s="14" t="s">
        <v>659</v>
      </c>
    </row>
  </sheetData>
  <conditionalFormatting sqref="F49">
    <cfRule type="expression" dxfId="1" priority="2">
      <formula>F49&gt;0</formula>
    </cfRule>
  </conditionalFormatting>
  <dataValidations count="2">
    <dataValidation type="list" allowBlank="1" showErrorMessage="1" error="Choose a value from the list." sqref="D5:D44" xr:uid="{00000000-0002-0000-0700-000000000000}">
      <formula1>"GitHub Copilot,ChatGPT,Gemini,Claude,Other"</formula1>
      <formula2>0</formula2>
    </dataValidation>
    <dataValidation type="list" allowBlank="1" showErrorMessage="1" error="Choose a value from the list." sqref="H5:H44" xr:uid="{00000000-0002-0000-0700-000001000000}">
      <formula1>"Kept,Changed,Rejected"</formula1>
      <formula2>0</formula2>
    </dataValidation>
  </dataValidations>
  <pageMargins left="0.75" right="0.75" top="1" bottom="1" header="0.511811023622047" footer="0.511811023622047"/>
  <pageSetup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H64"/>
  <sheetViews>
    <sheetView showGridLines="0" zoomScale="115" zoomScaleNormal="115" workbookViewId="0">
      <selection activeCell="D6" sqref="D6"/>
    </sheetView>
  </sheetViews>
  <sheetFormatPr defaultColWidth="8.7109375" defaultRowHeight="15" x14ac:dyDescent="0.25"/>
  <cols>
    <col min="1" max="1" width="10" customWidth="1"/>
    <col min="2" max="3" width="14" customWidth="1"/>
    <col min="4" max="4" width="26" customWidth="1"/>
    <col min="5" max="5" width="10" customWidth="1"/>
    <col min="6" max="6" width="14" customWidth="1"/>
    <col min="7" max="7" width="44" customWidth="1"/>
    <col min="8" max="8" width="30" customWidth="1"/>
  </cols>
  <sheetData>
    <row r="1" spans="1:8" ht="19.5" customHeight="1" x14ac:dyDescent="0.3">
      <c r="A1" s="1" t="s">
        <v>660</v>
      </c>
    </row>
    <row r="2" spans="1:8" ht="15" customHeight="1" x14ac:dyDescent="0.25">
      <c r="A2" s="2" t="s">
        <v>661</v>
      </c>
    </row>
    <row r="4" spans="1:8" ht="33.75" customHeight="1" x14ac:dyDescent="0.25">
      <c r="A4" s="11" t="s">
        <v>662</v>
      </c>
      <c r="B4" s="11" t="s">
        <v>549</v>
      </c>
      <c r="C4" s="11" t="s">
        <v>70</v>
      </c>
      <c r="D4" s="11" t="s">
        <v>663</v>
      </c>
      <c r="E4" s="11" t="s">
        <v>664</v>
      </c>
      <c r="F4" s="11" t="s">
        <v>665</v>
      </c>
      <c r="G4" s="11" t="s">
        <v>666</v>
      </c>
      <c r="H4" s="15" t="s">
        <v>100</v>
      </c>
    </row>
    <row r="5" spans="1:8" x14ac:dyDescent="0.25">
      <c r="A5" s="4" t="s">
        <v>668</v>
      </c>
      <c r="B5" s="4" t="s">
        <v>568</v>
      </c>
      <c r="C5" s="4" t="s">
        <v>556</v>
      </c>
      <c r="D5" s="4" t="s">
        <v>738</v>
      </c>
      <c r="E5" s="4">
        <v>1</v>
      </c>
      <c r="F5" s="4">
        <v>0</v>
      </c>
      <c r="G5" s="4" t="s">
        <v>768</v>
      </c>
      <c r="H5" s="6"/>
    </row>
    <row r="6" spans="1:8" ht="24" customHeight="1" x14ac:dyDescent="0.25">
      <c r="A6" s="4" t="s">
        <v>668</v>
      </c>
      <c r="B6" s="4" t="s">
        <v>555</v>
      </c>
      <c r="C6" s="4" t="s">
        <v>556</v>
      </c>
      <c r="D6" s="4" t="s">
        <v>667</v>
      </c>
      <c r="E6" s="4">
        <v>1</v>
      </c>
      <c r="F6" s="4">
        <v>1</v>
      </c>
      <c r="G6" s="23" t="s">
        <v>769</v>
      </c>
      <c r="H6" s="6"/>
    </row>
    <row r="7" spans="1:8" ht="24" customHeight="1" x14ac:dyDescent="0.25">
      <c r="A7" s="4" t="s">
        <v>668</v>
      </c>
      <c r="B7" s="4" t="s">
        <v>555</v>
      </c>
      <c r="C7" s="4" t="s">
        <v>85</v>
      </c>
      <c r="D7" s="4" t="s">
        <v>770</v>
      </c>
      <c r="E7" s="4">
        <v>2</v>
      </c>
      <c r="F7" s="4">
        <v>0</v>
      </c>
      <c r="G7" s="4" t="s">
        <v>771</v>
      </c>
      <c r="H7" s="6"/>
    </row>
    <row r="8" spans="1:8" ht="24" customHeight="1" x14ac:dyDescent="0.25">
      <c r="A8" s="4" t="s">
        <v>668</v>
      </c>
      <c r="B8" s="4" t="s">
        <v>596</v>
      </c>
      <c r="C8" s="4" t="s">
        <v>85</v>
      </c>
      <c r="D8" s="4" t="s">
        <v>772</v>
      </c>
      <c r="E8" s="4">
        <v>1</v>
      </c>
      <c r="F8" s="4">
        <v>0</v>
      </c>
      <c r="G8" s="4" t="s">
        <v>773</v>
      </c>
      <c r="H8" s="6"/>
    </row>
    <row r="9" spans="1:8" ht="24" customHeight="1" x14ac:dyDescent="0.25">
      <c r="A9" s="4" t="s">
        <v>668</v>
      </c>
      <c r="B9" s="4" t="s">
        <v>596</v>
      </c>
      <c r="C9" s="4" t="s">
        <v>472</v>
      </c>
      <c r="D9" s="4" t="s">
        <v>774</v>
      </c>
      <c r="E9" s="4">
        <v>21</v>
      </c>
      <c r="F9" s="4">
        <v>1</v>
      </c>
      <c r="G9" s="4" t="s">
        <v>775</v>
      </c>
      <c r="H9" s="6"/>
    </row>
    <row r="10" spans="1:8" ht="24" customHeight="1" x14ac:dyDescent="0.25">
      <c r="A10" s="4" t="s">
        <v>668</v>
      </c>
      <c r="B10" s="4" t="s">
        <v>596</v>
      </c>
      <c r="C10" s="4" t="s">
        <v>556</v>
      </c>
      <c r="D10" s="4" t="s">
        <v>776</v>
      </c>
      <c r="E10" s="4">
        <v>1</v>
      </c>
      <c r="F10" s="4">
        <v>1</v>
      </c>
      <c r="G10" s="4" t="s">
        <v>777</v>
      </c>
      <c r="H10" s="6"/>
    </row>
    <row r="11" spans="1:8" ht="24" customHeight="1" x14ac:dyDescent="0.25">
      <c r="A11" s="4" t="s">
        <v>668</v>
      </c>
      <c r="B11" s="4" t="s">
        <v>596</v>
      </c>
      <c r="C11" s="4" t="s">
        <v>556</v>
      </c>
      <c r="D11" s="4" t="s">
        <v>738</v>
      </c>
      <c r="E11" s="4">
        <v>1</v>
      </c>
      <c r="F11" s="4">
        <v>0</v>
      </c>
      <c r="G11" s="23" t="s">
        <v>778</v>
      </c>
      <c r="H11" s="6"/>
    </row>
    <row r="12" spans="1:8" ht="24" customHeight="1" x14ac:dyDescent="0.25">
      <c r="A12" s="4" t="s">
        <v>668</v>
      </c>
      <c r="B12" s="4" t="s">
        <v>596</v>
      </c>
      <c r="C12" s="4" t="s">
        <v>78</v>
      </c>
      <c r="D12" s="4" t="s">
        <v>779</v>
      </c>
      <c r="E12" s="4">
        <v>4</v>
      </c>
      <c r="F12" s="4">
        <v>0</v>
      </c>
      <c r="G12" s="4" t="s">
        <v>780</v>
      </c>
      <c r="H12" s="6"/>
    </row>
    <row r="13" spans="1:8" ht="24" customHeight="1" x14ac:dyDescent="0.25">
      <c r="A13" s="4"/>
      <c r="B13" s="4"/>
      <c r="C13" s="4"/>
      <c r="D13" s="4"/>
      <c r="E13" s="4"/>
      <c r="F13" s="4"/>
      <c r="G13" s="4"/>
      <c r="H13" s="6"/>
    </row>
    <row r="14" spans="1:8" ht="24" customHeight="1" x14ac:dyDescent="0.25">
      <c r="A14" s="4"/>
      <c r="B14" s="4"/>
      <c r="C14" s="4"/>
      <c r="D14" s="4"/>
      <c r="E14" s="4"/>
      <c r="F14" s="4"/>
      <c r="G14" s="4"/>
      <c r="H14" s="6"/>
    </row>
    <row r="15" spans="1:8" ht="24" customHeight="1" x14ac:dyDescent="0.25">
      <c r="A15" s="4"/>
      <c r="B15" s="4"/>
      <c r="C15" s="4"/>
      <c r="D15" s="4"/>
      <c r="E15" s="4"/>
      <c r="F15" s="4"/>
      <c r="G15" s="4"/>
      <c r="H15" s="6"/>
    </row>
    <row r="16" spans="1:8" ht="24" customHeight="1" x14ac:dyDescent="0.25">
      <c r="A16" s="4"/>
      <c r="B16" s="4"/>
      <c r="C16" s="4"/>
      <c r="D16" s="4"/>
      <c r="E16" s="4"/>
      <c r="F16" s="4"/>
      <c r="G16" s="4"/>
      <c r="H16" s="6"/>
    </row>
    <row r="17" spans="1:8" ht="24" customHeight="1" x14ac:dyDescent="0.25">
      <c r="A17" s="4"/>
      <c r="B17" s="4"/>
      <c r="C17" s="4"/>
      <c r="D17" s="4"/>
      <c r="E17" s="4"/>
      <c r="F17" s="4"/>
      <c r="G17" s="4"/>
      <c r="H17" s="6"/>
    </row>
    <row r="18" spans="1:8" ht="24" customHeight="1" x14ac:dyDescent="0.25">
      <c r="A18" s="4"/>
      <c r="B18" s="4"/>
      <c r="C18" s="4"/>
      <c r="D18" s="4"/>
      <c r="E18" s="4"/>
      <c r="F18" s="4"/>
      <c r="G18" s="4"/>
      <c r="H18" s="6"/>
    </row>
    <row r="19" spans="1:8" ht="24" customHeight="1" x14ac:dyDescent="0.25">
      <c r="A19" s="4"/>
      <c r="B19" s="4"/>
      <c r="C19" s="4"/>
      <c r="D19" s="4"/>
      <c r="E19" s="4"/>
      <c r="F19" s="4"/>
      <c r="G19" s="4"/>
      <c r="H19" s="6"/>
    </row>
    <row r="20" spans="1:8" ht="24" customHeight="1" x14ac:dyDescent="0.25">
      <c r="A20" s="4"/>
      <c r="B20" s="4"/>
      <c r="C20" s="4"/>
      <c r="D20" s="4"/>
      <c r="E20" s="4"/>
      <c r="F20" s="4"/>
      <c r="G20" s="4"/>
      <c r="H20" s="6"/>
    </row>
    <row r="21" spans="1:8" ht="24" customHeight="1" x14ac:dyDescent="0.25">
      <c r="A21" s="4"/>
      <c r="B21" s="4"/>
      <c r="C21" s="4"/>
      <c r="D21" s="4"/>
      <c r="E21" s="4"/>
      <c r="F21" s="4"/>
      <c r="G21" s="4"/>
      <c r="H21" s="6"/>
    </row>
    <row r="22" spans="1:8" ht="24" customHeight="1" x14ac:dyDescent="0.25">
      <c r="A22" s="4"/>
      <c r="B22" s="4"/>
      <c r="C22" s="4"/>
      <c r="D22" s="4"/>
      <c r="E22" s="4"/>
      <c r="F22" s="4"/>
      <c r="G22" s="4"/>
      <c r="H22" s="6"/>
    </row>
    <row r="23" spans="1:8" ht="24" customHeight="1" x14ac:dyDescent="0.25">
      <c r="A23" s="4"/>
      <c r="B23" s="4"/>
      <c r="C23" s="4"/>
      <c r="D23" s="4"/>
      <c r="E23" s="4"/>
      <c r="F23" s="4"/>
      <c r="G23" s="4"/>
      <c r="H23" s="6"/>
    </row>
    <row r="24" spans="1:8" ht="24" customHeight="1" x14ac:dyDescent="0.25">
      <c r="A24" s="4"/>
      <c r="B24" s="4"/>
      <c r="C24" s="4"/>
      <c r="D24" s="4"/>
      <c r="E24" s="4"/>
      <c r="F24" s="4"/>
      <c r="G24" s="4"/>
      <c r="H24" s="6"/>
    </row>
    <row r="25" spans="1:8" ht="24" customHeight="1" x14ac:dyDescent="0.25">
      <c r="A25" s="4"/>
      <c r="B25" s="4"/>
      <c r="C25" s="4"/>
      <c r="D25" s="4"/>
      <c r="E25" s="4"/>
      <c r="F25" s="4"/>
      <c r="G25" s="4"/>
      <c r="H25" s="6"/>
    </row>
    <row r="26" spans="1:8" ht="24" customHeight="1" x14ac:dyDescent="0.25">
      <c r="A26" s="4"/>
      <c r="B26" s="4"/>
      <c r="C26" s="4"/>
      <c r="D26" s="4"/>
      <c r="E26" s="4"/>
      <c r="F26" s="4"/>
      <c r="G26" s="4"/>
      <c r="H26" s="6"/>
    </row>
    <row r="27" spans="1:8" ht="24" customHeight="1" x14ac:dyDescent="0.25">
      <c r="A27" s="4"/>
      <c r="B27" s="4"/>
      <c r="C27" s="4"/>
      <c r="D27" s="4"/>
      <c r="E27" s="4"/>
      <c r="F27" s="4"/>
      <c r="G27" s="4"/>
      <c r="H27" s="6"/>
    </row>
    <row r="28" spans="1:8" ht="24" customHeight="1" x14ac:dyDescent="0.25">
      <c r="A28" s="4"/>
      <c r="B28" s="4"/>
      <c r="C28" s="4"/>
      <c r="D28" s="4"/>
      <c r="E28" s="4"/>
      <c r="F28" s="4"/>
      <c r="G28" s="4"/>
      <c r="H28" s="6"/>
    </row>
    <row r="29" spans="1:8" ht="24" customHeight="1" x14ac:dyDescent="0.25">
      <c r="A29" s="4"/>
      <c r="B29" s="4"/>
      <c r="C29" s="4"/>
      <c r="D29" s="4"/>
      <c r="E29" s="4"/>
      <c r="F29" s="4"/>
      <c r="G29" s="4"/>
      <c r="H29" s="6"/>
    </row>
    <row r="30" spans="1:8" ht="24" customHeight="1" x14ac:dyDescent="0.25">
      <c r="A30" s="4"/>
      <c r="B30" s="4"/>
      <c r="C30" s="4"/>
      <c r="D30" s="4"/>
      <c r="E30" s="4"/>
      <c r="F30" s="4"/>
      <c r="G30" s="4"/>
      <c r="H30" s="6"/>
    </row>
    <row r="31" spans="1:8" ht="24" customHeight="1" x14ac:dyDescent="0.25">
      <c r="A31" s="4"/>
      <c r="B31" s="4"/>
      <c r="C31" s="4"/>
      <c r="D31" s="4"/>
      <c r="E31" s="4"/>
      <c r="F31" s="4"/>
      <c r="G31" s="4"/>
      <c r="H31" s="6"/>
    </row>
    <row r="32" spans="1:8" ht="24" customHeight="1" x14ac:dyDescent="0.25">
      <c r="A32" s="4"/>
      <c r="B32" s="4"/>
      <c r="C32" s="4"/>
      <c r="D32" s="4"/>
      <c r="E32" s="4"/>
      <c r="F32" s="4"/>
      <c r="G32" s="4"/>
      <c r="H32" s="6"/>
    </row>
    <row r="33" spans="1:8" ht="24" customHeight="1" x14ac:dyDescent="0.25">
      <c r="A33" s="4"/>
      <c r="B33" s="4"/>
      <c r="C33" s="4"/>
      <c r="D33" s="4"/>
      <c r="E33" s="4"/>
      <c r="F33" s="4"/>
      <c r="G33" s="4"/>
      <c r="H33" s="6"/>
    </row>
    <row r="34" spans="1:8" ht="24" customHeight="1" x14ac:dyDescent="0.25">
      <c r="A34" s="4"/>
      <c r="B34" s="4"/>
      <c r="C34" s="4"/>
      <c r="D34" s="4"/>
      <c r="E34" s="4"/>
      <c r="F34" s="4"/>
      <c r="G34" s="4"/>
      <c r="H34" s="6"/>
    </row>
    <row r="35" spans="1:8" ht="24" customHeight="1" x14ac:dyDescent="0.25">
      <c r="A35" s="4"/>
      <c r="B35" s="4"/>
      <c r="C35" s="4"/>
      <c r="D35" s="4"/>
      <c r="E35" s="4"/>
      <c r="F35" s="4"/>
      <c r="G35" s="4"/>
      <c r="H35" s="6"/>
    </row>
    <row r="36" spans="1:8" ht="24" customHeight="1" x14ac:dyDescent="0.25">
      <c r="A36" s="4"/>
      <c r="B36" s="4"/>
      <c r="C36" s="4"/>
      <c r="D36" s="4"/>
      <c r="E36" s="4"/>
      <c r="F36" s="4"/>
      <c r="G36" s="4"/>
      <c r="H36" s="6"/>
    </row>
    <row r="37" spans="1:8" ht="24" customHeight="1" x14ac:dyDescent="0.25">
      <c r="A37" s="4"/>
      <c r="B37" s="4"/>
      <c r="C37" s="4"/>
      <c r="D37" s="4"/>
      <c r="E37" s="4"/>
      <c r="F37" s="4"/>
      <c r="G37" s="4"/>
      <c r="H37" s="6"/>
    </row>
    <row r="38" spans="1:8" ht="24" customHeight="1" x14ac:dyDescent="0.25">
      <c r="A38" s="4"/>
      <c r="B38" s="4"/>
      <c r="C38" s="4"/>
      <c r="D38" s="4"/>
      <c r="E38" s="4"/>
      <c r="F38" s="4"/>
      <c r="G38" s="4"/>
      <c r="H38" s="6"/>
    </row>
    <row r="39" spans="1:8" ht="24" customHeight="1" x14ac:dyDescent="0.25">
      <c r="A39" s="4"/>
      <c r="B39" s="4"/>
      <c r="C39" s="4"/>
      <c r="D39" s="4"/>
      <c r="E39" s="4"/>
      <c r="F39" s="4"/>
      <c r="G39" s="4"/>
      <c r="H39" s="6"/>
    </row>
    <row r="40" spans="1:8" ht="24" customHeight="1" x14ac:dyDescent="0.25">
      <c r="A40" s="4"/>
      <c r="B40" s="4"/>
      <c r="C40" s="4"/>
      <c r="D40" s="4"/>
      <c r="E40" s="4"/>
      <c r="F40" s="4"/>
      <c r="G40" s="4"/>
      <c r="H40" s="6"/>
    </row>
    <row r="41" spans="1:8" ht="24" customHeight="1" x14ac:dyDescent="0.25">
      <c r="A41" s="4"/>
      <c r="B41" s="4"/>
      <c r="C41" s="4"/>
      <c r="D41" s="4"/>
      <c r="E41" s="4"/>
      <c r="F41" s="4"/>
      <c r="G41" s="4"/>
      <c r="H41" s="6"/>
    </row>
    <row r="42" spans="1:8" ht="24" customHeight="1" x14ac:dyDescent="0.25">
      <c r="A42" s="4"/>
      <c r="B42" s="4"/>
      <c r="C42" s="4"/>
      <c r="D42" s="4"/>
      <c r="E42" s="4"/>
      <c r="F42" s="4"/>
      <c r="G42" s="4"/>
      <c r="H42" s="6"/>
    </row>
    <row r="43" spans="1:8" ht="24" customHeight="1" x14ac:dyDescent="0.25">
      <c r="A43" s="4"/>
      <c r="B43" s="4"/>
      <c r="C43" s="4"/>
      <c r="D43" s="4"/>
      <c r="E43" s="4"/>
      <c r="F43" s="4"/>
      <c r="G43" s="4"/>
      <c r="H43" s="6"/>
    </row>
    <row r="44" spans="1:8" ht="24" customHeight="1" x14ac:dyDescent="0.25">
      <c r="A44" s="4"/>
      <c r="B44" s="4"/>
      <c r="C44" s="4"/>
      <c r="D44" s="4"/>
      <c r="E44" s="4"/>
      <c r="F44" s="4"/>
      <c r="G44" s="4"/>
      <c r="H44" s="6"/>
    </row>
    <row r="45" spans="1:8" ht="24" customHeight="1" x14ac:dyDescent="0.25">
      <c r="A45" s="4"/>
      <c r="B45" s="4"/>
      <c r="C45" s="4"/>
      <c r="D45" s="4"/>
      <c r="E45" s="4"/>
      <c r="F45" s="4"/>
      <c r="G45" s="4"/>
      <c r="H45" s="6"/>
    </row>
    <row r="46" spans="1:8" ht="24" customHeight="1" x14ac:dyDescent="0.25">
      <c r="A46" s="4"/>
      <c r="B46" s="4"/>
      <c r="C46" s="4"/>
      <c r="D46" s="4"/>
      <c r="E46" s="4"/>
      <c r="F46" s="4"/>
      <c r="G46" s="4"/>
      <c r="H46" s="6"/>
    </row>
    <row r="47" spans="1:8" ht="24" customHeight="1" x14ac:dyDescent="0.25">
      <c r="A47" s="4"/>
      <c r="B47" s="4"/>
      <c r="C47" s="4"/>
      <c r="D47" s="4"/>
      <c r="E47" s="4"/>
      <c r="F47" s="4"/>
      <c r="G47" s="4"/>
      <c r="H47" s="6"/>
    </row>
    <row r="48" spans="1:8" ht="24" customHeight="1" x14ac:dyDescent="0.25">
      <c r="A48" s="4"/>
      <c r="B48" s="4"/>
      <c r="C48" s="4"/>
      <c r="D48" s="4"/>
      <c r="E48" s="4"/>
      <c r="F48" s="4"/>
      <c r="G48" s="4"/>
      <c r="H48" s="6"/>
    </row>
    <row r="49" spans="1:8" ht="24" customHeight="1" x14ac:dyDescent="0.25">
      <c r="A49" s="4"/>
      <c r="B49" s="4"/>
      <c r="C49" s="4"/>
      <c r="D49" s="4"/>
      <c r="E49" s="4"/>
      <c r="F49" s="4"/>
      <c r="G49" s="4"/>
      <c r="H49" s="6"/>
    </row>
    <row r="50" spans="1:8" ht="24" customHeight="1" x14ac:dyDescent="0.25">
      <c r="A50" s="4"/>
      <c r="B50" s="4"/>
      <c r="C50" s="4"/>
      <c r="D50" s="4"/>
      <c r="E50" s="4"/>
      <c r="F50" s="4"/>
      <c r="G50" s="4"/>
      <c r="H50" s="6"/>
    </row>
    <row r="51" spans="1:8" ht="24" customHeight="1" x14ac:dyDescent="0.25">
      <c r="A51" s="4"/>
      <c r="B51" s="4"/>
      <c r="C51" s="4"/>
      <c r="D51" s="4"/>
      <c r="E51" s="4"/>
      <c r="F51" s="4"/>
      <c r="G51" s="4"/>
      <c r="H51" s="6"/>
    </row>
    <row r="52" spans="1:8" ht="24" customHeight="1" x14ac:dyDescent="0.25">
      <c r="A52" s="4"/>
      <c r="B52" s="4"/>
      <c r="C52" s="4"/>
      <c r="D52" s="4"/>
      <c r="E52" s="4"/>
      <c r="F52" s="4"/>
      <c r="G52" s="4"/>
      <c r="H52" s="6"/>
    </row>
    <row r="53" spans="1:8" ht="24" customHeight="1" x14ac:dyDescent="0.25">
      <c r="A53" s="4"/>
      <c r="B53" s="4"/>
      <c r="C53" s="4"/>
      <c r="D53" s="4"/>
      <c r="E53" s="4"/>
      <c r="F53" s="4"/>
      <c r="G53" s="4"/>
      <c r="H53" s="6"/>
    </row>
    <row r="54" spans="1:8" ht="24" customHeight="1" x14ac:dyDescent="0.25">
      <c r="A54" s="4"/>
      <c r="B54" s="4"/>
      <c r="C54" s="4"/>
      <c r="D54" s="4"/>
      <c r="E54" s="4"/>
      <c r="F54" s="4"/>
      <c r="G54" s="4"/>
      <c r="H54" s="6"/>
    </row>
    <row r="55" spans="1:8" ht="24" customHeight="1" x14ac:dyDescent="0.25">
      <c r="A55" s="4"/>
      <c r="B55" s="4"/>
      <c r="C55" s="4"/>
      <c r="D55" s="4"/>
      <c r="E55" s="4"/>
      <c r="F55" s="4"/>
      <c r="G55" s="4"/>
      <c r="H55" s="6"/>
    </row>
    <row r="56" spans="1:8" ht="24" customHeight="1" x14ac:dyDescent="0.25">
      <c r="A56" s="4"/>
      <c r="B56" s="4"/>
      <c r="C56" s="4"/>
      <c r="D56" s="4"/>
      <c r="E56" s="4"/>
      <c r="F56" s="4"/>
      <c r="G56" s="4"/>
      <c r="H56" s="6"/>
    </row>
    <row r="57" spans="1:8" ht="24" customHeight="1" x14ac:dyDescent="0.25">
      <c r="A57" s="4"/>
      <c r="B57" s="4"/>
      <c r="C57" s="4"/>
      <c r="D57" s="4"/>
      <c r="E57" s="4"/>
      <c r="F57" s="4"/>
      <c r="G57" s="4"/>
      <c r="H57" s="6"/>
    </row>
    <row r="58" spans="1:8" ht="24" customHeight="1" x14ac:dyDescent="0.25">
      <c r="A58" s="4"/>
      <c r="B58" s="4"/>
      <c r="C58" s="4"/>
      <c r="D58" s="4"/>
      <c r="E58" s="4"/>
      <c r="F58" s="4"/>
      <c r="G58" s="4"/>
      <c r="H58" s="6"/>
    </row>
    <row r="59" spans="1:8" ht="24" customHeight="1" x14ac:dyDescent="0.25">
      <c r="A59" s="4"/>
      <c r="B59" s="4"/>
      <c r="C59" s="4"/>
      <c r="D59" s="4"/>
      <c r="E59" s="4"/>
      <c r="F59" s="4"/>
      <c r="G59" s="4"/>
      <c r="H59" s="6"/>
    </row>
    <row r="60" spans="1:8" ht="24" customHeight="1" x14ac:dyDescent="0.25">
      <c r="A60" s="4"/>
      <c r="B60" s="4"/>
      <c r="C60" s="4"/>
      <c r="D60" s="4"/>
      <c r="E60" s="4"/>
      <c r="F60" s="4"/>
      <c r="G60" s="4"/>
      <c r="H60" s="6"/>
    </row>
    <row r="61" spans="1:8" ht="24" customHeight="1" x14ac:dyDescent="0.25">
      <c r="A61" s="4"/>
      <c r="B61" s="4"/>
      <c r="C61" s="4"/>
      <c r="D61" s="4"/>
      <c r="E61" s="4"/>
      <c r="F61" s="4"/>
      <c r="G61" s="4"/>
      <c r="H61" s="6"/>
    </row>
    <row r="62" spans="1:8" ht="24" customHeight="1" x14ac:dyDescent="0.25">
      <c r="A62" s="4"/>
      <c r="B62" s="4"/>
      <c r="C62" s="4"/>
      <c r="D62" s="4"/>
      <c r="E62" s="4"/>
      <c r="F62" s="4"/>
      <c r="G62" s="4"/>
      <c r="H62" s="6"/>
    </row>
    <row r="63" spans="1:8" ht="24" customHeight="1" x14ac:dyDescent="0.25">
      <c r="A63" s="4"/>
      <c r="B63" s="4"/>
      <c r="C63" s="4"/>
      <c r="D63" s="4"/>
      <c r="E63" s="4"/>
      <c r="F63" s="4"/>
      <c r="G63" s="4"/>
      <c r="H63" s="6"/>
    </row>
    <row r="64" spans="1:8" ht="24" customHeight="1" x14ac:dyDescent="0.25">
      <c r="A64" s="4"/>
      <c r="B64" s="4"/>
      <c r="C64" s="4"/>
      <c r="D64" s="4"/>
      <c r="E64" s="4"/>
      <c r="F64" s="4"/>
      <c r="G64" s="4"/>
      <c r="H64" s="6"/>
    </row>
  </sheetData>
  <phoneticPr fontId="10" type="noConversion"/>
  <pageMargins left="0.75" right="0.75" top="1" bottom="1" header="0.511811023622047" footer="0.511811023622047"/>
  <pageSetup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H14"/>
  <sheetViews>
    <sheetView showGridLines="0" zoomScale="85" zoomScaleNormal="85" workbookViewId="0">
      <pane xSplit="1" ySplit="4" topLeftCell="B5" activePane="bottomRight" state="frozen"/>
      <selection pane="topRight" activeCell="B1" sqref="B1"/>
      <selection pane="bottomLeft" activeCell="A5" sqref="A5"/>
      <selection pane="bottomRight" activeCell="F10" sqref="F10"/>
    </sheetView>
  </sheetViews>
  <sheetFormatPr defaultColWidth="8.7109375" defaultRowHeight="15" x14ac:dyDescent="0.25"/>
  <cols>
    <col min="1" max="1" width="14" customWidth="1"/>
    <col min="2" max="3" width="40" customWidth="1"/>
    <col min="4" max="5" width="30" customWidth="1"/>
    <col min="6" max="6" width="16" customWidth="1"/>
    <col min="7" max="7" width="36" customWidth="1"/>
    <col min="8" max="8" width="16" customWidth="1"/>
  </cols>
  <sheetData>
    <row r="1" spans="1:8" ht="19.5" customHeight="1" x14ac:dyDescent="0.3">
      <c r="A1" s="1" t="s">
        <v>671</v>
      </c>
    </row>
    <row r="2" spans="1:8" ht="15" customHeight="1" x14ac:dyDescent="0.25">
      <c r="A2" s="2" t="s">
        <v>672</v>
      </c>
    </row>
    <row r="4" spans="1:8" ht="39.75" customHeight="1" x14ac:dyDescent="0.25">
      <c r="A4" s="7" t="s">
        <v>673</v>
      </c>
      <c r="B4" s="11" t="s">
        <v>674</v>
      </c>
      <c r="C4" s="11" t="s">
        <v>675</v>
      </c>
      <c r="D4" s="11" t="s">
        <v>676</v>
      </c>
      <c r="E4" s="11" t="s">
        <v>677</v>
      </c>
      <c r="F4" s="11" t="s">
        <v>678</v>
      </c>
      <c r="G4" s="15" t="s">
        <v>679</v>
      </c>
      <c r="H4" s="15" t="s">
        <v>673</v>
      </c>
    </row>
    <row r="5" spans="1:8" ht="60" customHeight="1" x14ac:dyDescent="0.25">
      <c r="A5" s="9" t="s">
        <v>24</v>
      </c>
      <c r="B5" s="4" t="s">
        <v>680</v>
      </c>
      <c r="C5" s="4" t="s">
        <v>781</v>
      </c>
      <c r="D5" s="4" t="s">
        <v>782</v>
      </c>
      <c r="E5" s="4" t="s">
        <v>783</v>
      </c>
      <c r="F5" s="4" t="s">
        <v>482</v>
      </c>
      <c r="G5" s="6"/>
      <c r="H5" s="21"/>
    </row>
    <row r="6" spans="1:8" ht="60" customHeight="1" x14ac:dyDescent="0.25">
      <c r="A6" s="9" t="s">
        <v>681</v>
      </c>
      <c r="B6" s="4" t="s">
        <v>682</v>
      </c>
      <c r="C6" s="4" t="s">
        <v>784</v>
      </c>
      <c r="D6" s="4" t="s">
        <v>785</v>
      </c>
      <c r="E6" s="4" t="s">
        <v>786</v>
      </c>
      <c r="F6" s="4" t="s">
        <v>482</v>
      </c>
      <c r="G6" s="6"/>
      <c r="H6" s="21"/>
    </row>
    <row r="7" spans="1:8" ht="60" customHeight="1" x14ac:dyDescent="0.25">
      <c r="A7" s="9" t="s">
        <v>683</v>
      </c>
      <c r="B7" s="4" t="s">
        <v>684</v>
      </c>
      <c r="C7" s="4" t="s">
        <v>787</v>
      </c>
      <c r="D7" s="4" t="s">
        <v>788</v>
      </c>
      <c r="E7" s="4" t="s">
        <v>789</v>
      </c>
      <c r="F7" s="4" t="s">
        <v>482</v>
      </c>
      <c r="G7" s="6"/>
      <c r="H7" s="21"/>
    </row>
    <row r="8" spans="1:8" ht="169.5" customHeight="1" x14ac:dyDescent="0.25">
      <c r="A8" s="9" t="s">
        <v>668</v>
      </c>
      <c r="B8" s="4" t="s">
        <v>685</v>
      </c>
      <c r="C8" s="4" t="s">
        <v>790</v>
      </c>
      <c r="D8" s="4" t="s">
        <v>791</v>
      </c>
      <c r="E8" s="4" t="s">
        <v>792</v>
      </c>
      <c r="F8" s="4" t="s">
        <v>482</v>
      </c>
      <c r="G8" s="6"/>
      <c r="H8" s="21"/>
    </row>
    <row r="9" spans="1:8" ht="60" customHeight="1" x14ac:dyDescent="0.25">
      <c r="A9" s="9" t="s">
        <v>669</v>
      </c>
      <c r="B9" s="4" t="s">
        <v>686</v>
      </c>
      <c r="C9" s="35" t="s">
        <v>793</v>
      </c>
      <c r="D9" s="35" t="s">
        <v>794</v>
      </c>
      <c r="E9" s="4" t="s">
        <v>795</v>
      </c>
      <c r="F9" s="4" t="s">
        <v>482</v>
      </c>
      <c r="G9" s="6"/>
      <c r="H9" s="21"/>
    </row>
    <row r="10" spans="1:8" ht="60" customHeight="1" x14ac:dyDescent="0.25">
      <c r="A10" s="9" t="s">
        <v>670</v>
      </c>
      <c r="B10" s="4" t="s">
        <v>687</v>
      </c>
      <c r="C10" s="4" t="s">
        <v>796</v>
      </c>
      <c r="D10" s="4" t="s">
        <v>797</v>
      </c>
      <c r="E10" s="4" t="s">
        <v>798</v>
      </c>
      <c r="F10" s="4" t="s">
        <v>482</v>
      </c>
      <c r="G10" s="6"/>
      <c r="H10" s="21"/>
    </row>
    <row r="12" spans="1:8" ht="25.5" customHeight="1" x14ac:dyDescent="0.25">
      <c r="A12" s="9" t="s">
        <v>688</v>
      </c>
      <c r="B12" s="10" t="str">
        <f>COUNTIF(H5:H10,"Met")&amp;" of 6"</f>
        <v>0 of 6</v>
      </c>
    </row>
    <row r="14" spans="1:8" ht="15" customHeight="1" x14ac:dyDescent="0.25">
      <c r="A14" s="14" t="s">
        <v>689</v>
      </c>
    </row>
  </sheetData>
  <dataValidations count="2">
    <dataValidation type="list" allowBlank="1" sqref="F5:F10" xr:uid="{00000000-0002-0000-0900-000000000000}">
      <formula1>"On track,Behind,Done"</formula1>
      <formula2>0</formula2>
    </dataValidation>
    <dataValidation type="list" allowBlank="1" sqref="H5:H10" xr:uid="{00000000-0002-0000-0900-000001000000}">
      <formula1>"Met,Partly met,Not met"</formula1>
      <formula2>0</formula2>
    </dataValidation>
  </dataValidations>
  <pageMargins left="0.75" right="0.75" top="1" bottom="1" header="0.511811023622047" footer="0.511811023622047"/>
  <pageSetup fitToHeight="0" orientation="landscape"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I17"/>
  <sheetViews>
    <sheetView showGridLines="0" zoomScale="85" zoomScaleNormal="85" workbookViewId="0">
      <pane xSplit="2" ySplit="4" topLeftCell="C5" activePane="bottomRight" state="frozen"/>
      <selection pane="topRight" activeCell="C1" sqref="C1"/>
      <selection pane="bottomLeft" activeCell="A5" sqref="A5"/>
      <selection pane="bottomRight" activeCell="F12" sqref="F12"/>
    </sheetView>
  </sheetViews>
  <sheetFormatPr defaultColWidth="8.7109375" defaultRowHeight="15" x14ac:dyDescent="0.25"/>
  <cols>
    <col min="1" max="1" width="8" customWidth="1"/>
    <col min="2" max="2" width="34" customWidth="1"/>
    <col min="3" max="3" width="9" customWidth="1"/>
    <col min="4" max="4" width="58" customWidth="1"/>
    <col min="5" max="6" width="13" customWidth="1"/>
    <col min="7" max="7" width="12" customWidth="1"/>
    <col min="8" max="9" width="40" customWidth="1"/>
  </cols>
  <sheetData>
    <row r="1" spans="1:9" ht="19.5" customHeight="1" x14ac:dyDescent="0.3">
      <c r="A1" s="1" t="s">
        <v>690</v>
      </c>
    </row>
    <row r="2" spans="1:9" ht="15" customHeight="1" x14ac:dyDescent="0.25">
      <c r="A2" s="2" t="s">
        <v>691</v>
      </c>
    </row>
    <row r="4" spans="1:9" ht="36" customHeight="1" x14ac:dyDescent="0.25">
      <c r="A4" s="7" t="s">
        <v>548</v>
      </c>
      <c r="B4" s="7" t="s">
        <v>444</v>
      </c>
      <c r="C4" s="7" t="s">
        <v>692</v>
      </c>
      <c r="D4" s="7" t="s">
        <v>693</v>
      </c>
      <c r="E4" s="11" t="s">
        <v>694</v>
      </c>
      <c r="F4" s="15" t="s">
        <v>695</v>
      </c>
      <c r="G4" s="7" t="s">
        <v>696</v>
      </c>
      <c r="H4" s="11" t="s">
        <v>697</v>
      </c>
      <c r="I4" s="15" t="s">
        <v>698</v>
      </c>
    </row>
    <row r="5" spans="1:9" ht="57.75" customHeight="1" x14ac:dyDescent="0.25">
      <c r="A5" s="18" t="s">
        <v>450</v>
      </c>
      <c r="B5" s="8" t="s">
        <v>451</v>
      </c>
      <c r="C5" s="10">
        <v>5</v>
      </c>
      <c r="D5" s="5" t="s">
        <v>699</v>
      </c>
      <c r="E5" s="24">
        <v>5</v>
      </c>
      <c r="F5" s="25"/>
      <c r="G5" s="26" t="str">
        <f t="shared" ref="G5:G14" si="0">IF(AND(ISNUMBER(E5),ISNUMBER(F5)),E5-F5,"")</f>
        <v/>
      </c>
      <c r="H5" s="4" t="s">
        <v>799</v>
      </c>
      <c r="I5" s="6"/>
    </row>
    <row r="6" spans="1:9" ht="57.75" customHeight="1" x14ac:dyDescent="0.25">
      <c r="A6" s="18" t="s">
        <v>454</v>
      </c>
      <c r="B6" s="8" t="s">
        <v>455</v>
      </c>
      <c r="C6" s="10">
        <v>15</v>
      </c>
      <c r="D6" s="5" t="s">
        <v>700</v>
      </c>
      <c r="E6" s="24">
        <v>10</v>
      </c>
      <c r="F6" s="25"/>
      <c r="G6" s="26" t="str">
        <f t="shared" si="0"/>
        <v/>
      </c>
      <c r="H6" s="4" t="s">
        <v>800</v>
      </c>
      <c r="I6" s="6"/>
    </row>
    <row r="7" spans="1:9" ht="57.75" customHeight="1" x14ac:dyDescent="0.25">
      <c r="A7" s="18" t="s">
        <v>458</v>
      </c>
      <c r="B7" s="8" t="s">
        <v>701</v>
      </c>
      <c r="C7" s="10">
        <v>10</v>
      </c>
      <c r="D7" s="5" t="s">
        <v>702</v>
      </c>
      <c r="E7" s="24">
        <v>10</v>
      </c>
      <c r="F7" s="25"/>
      <c r="G7" s="26" t="str">
        <f t="shared" si="0"/>
        <v/>
      </c>
      <c r="H7" s="4" t="s">
        <v>801</v>
      </c>
      <c r="I7" s="6"/>
    </row>
    <row r="8" spans="1:9" ht="57.75" customHeight="1" x14ac:dyDescent="0.25">
      <c r="A8" s="18" t="s">
        <v>465</v>
      </c>
      <c r="B8" s="8" t="s">
        <v>703</v>
      </c>
      <c r="C8" s="10">
        <v>10</v>
      </c>
      <c r="D8" s="5" t="s">
        <v>704</v>
      </c>
      <c r="E8" s="24">
        <v>10</v>
      </c>
      <c r="F8" s="25"/>
      <c r="G8" s="26" t="str">
        <f t="shared" si="0"/>
        <v/>
      </c>
      <c r="H8" s="4" t="s">
        <v>802</v>
      </c>
      <c r="I8" s="6"/>
    </row>
    <row r="9" spans="1:9" ht="57.75" customHeight="1" x14ac:dyDescent="0.25">
      <c r="A9" s="18" t="s">
        <v>470</v>
      </c>
      <c r="B9" s="8" t="s">
        <v>705</v>
      </c>
      <c r="C9" s="10">
        <v>15</v>
      </c>
      <c r="D9" s="5" t="s">
        <v>706</v>
      </c>
      <c r="E9" s="24">
        <v>10</v>
      </c>
      <c r="F9" s="25"/>
      <c r="G9" s="26" t="str">
        <f t="shared" si="0"/>
        <v/>
      </c>
      <c r="H9" s="4" t="s">
        <v>803</v>
      </c>
      <c r="I9" s="6"/>
    </row>
    <row r="10" spans="1:9" ht="57.75" customHeight="1" x14ac:dyDescent="0.25">
      <c r="A10" s="18" t="s">
        <v>478</v>
      </c>
      <c r="B10" s="8" t="s">
        <v>707</v>
      </c>
      <c r="C10" s="10">
        <v>5</v>
      </c>
      <c r="D10" s="5" t="s">
        <v>708</v>
      </c>
      <c r="E10" s="24">
        <v>5</v>
      </c>
      <c r="F10" s="25"/>
      <c r="G10" s="26" t="str">
        <f t="shared" si="0"/>
        <v/>
      </c>
      <c r="H10" s="4" t="s">
        <v>804</v>
      </c>
      <c r="I10" s="6"/>
    </row>
    <row r="11" spans="1:9" ht="57.75" customHeight="1" x14ac:dyDescent="0.25">
      <c r="A11" s="18" t="s">
        <v>483</v>
      </c>
      <c r="B11" s="8" t="s">
        <v>709</v>
      </c>
      <c r="C11" s="10">
        <v>10</v>
      </c>
      <c r="D11" s="5" t="s">
        <v>710</v>
      </c>
      <c r="E11" s="24">
        <v>10</v>
      </c>
      <c r="F11" s="25"/>
      <c r="G11" s="26" t="str">
        <f t="shared" si="0"/>
        <v/>
      </c>
      <c r="H11" s="4" t="s">
        <v>711</v>
      </c>
      <c r="I11" s="6"/>
    </row>
    <row r="12" spans="1:9" ht="57.75" customHeight="1" x14ac:dyDescent="0.25">
      <c r="A12" s="18" t="s">
        <v>489</v>
      </c>
      <c r="B12" s="8" t="s">
        <v>712</v>
      </c>
      <c r="C12" s="10">
        <v>10</v>
      </c>
      <c r="D12" s="5" t="s">
        <v>713</v>
      </c>
      <c r="E12" s="24">
        <v>7</v>
      </c>
      <c r="F12" s="25"/>
      <c r="G12" s="26" t="str">
        <f t="shared" si="0"/>
        <v/>
      </c>
      <c r="H12" s="4" t="s">
        <v>760</v>
      </c>
      <c r="I12" s="6"/>
    </row>
    <row r="13" spans="1:9" ht="57.75" customHeight="1" x14ac:dyDescent="0.25">
      <c r="A13" s="18" t="s">
        <v>493</v>
      </c>
      <c r="B13" s="8" t="s">
        <v>714</v>
      </c>
      <c r="C13" s="10">
        <v>10</v>
      </c>
      <c r="D13" s="5" t="s">
        <v>715</v>
      </c>
      <c r="E13" s="24">
        <v>10</v>
      </c>
      <c r="F13" s="25"/>
      <c r="G13" s="26" t="str">
        <f t="shared" si="0"/>
        <v/>
      </c>
      <c r="H13" s="4" t="s">
        <v>761</v>
      </c>
      <c r="I13" s="6"/>
    </row>
    <row r="14" spans="1:9" ht="57.75" customHeight="1" x14ac:dyDescent="0.25">
      <c r="A14" s="18" t="s">
        <v>496</v>
      </c>
      <c r="B14" s="8" t="s">
        <v>716</v>
      </c>
      <c r="C14" s="10">
        <v>10</v>
      </c>
      <c r="D14" s="5" t="s">
        <v>717</v>
      </c>
      <c r="E14" s="24">
        <v>10</v>
      </c>
      <c r="F14" s="25"/>
      <c r="G14" s="26" t="str">
        <f t="shared" si="0"/>
        <v/>
      </c>
      <c r="H14" s="4" t="s">
        <v>805</v>
      </c>
      <c r="I14" s="6"/>
    </row>
    <row r="15" spans="1:9" ht="15" customHeight="1" x14ac:dyDescent="0.25">
      <c r="A15" s="27"/>
      <c r="B15" s="9" t="s">
        <v>718</v>
      </c>
      <c r="C15" s="16">
        <f>SUM(C5:C14)</f>
        <v>100</v>
      </c>
      <c r="D15" s="27"/>
      <c r="E15" s="28">
        <f>SUM(E5:E14)</f>
        <v>87</v>
      </c>
      <c r="F15" s="28">
        <f>SUM(F5:F14)</f>
        <v>0</v>
      </c>
      <c r="G15" s="29">
        <f>E15-F15</f>
        <v>87</v>
      </c>
      <c r="H15" s="27"/>
      <c r="I15" s="27"/>
    </row>
    <row r="17" spans="1:1" ht="15" customHeight="1" x14ac:dyDescent="0.25">
      <c r="A17" s="14" t="s">
        <v>719</v>
      </c>
    </row>
  </sheetData>
  <conditionalFormatting sqref="G5:G14">
    <cfRule type="expression" dxfId="0" priority="2">
      <formula>AND(ISNUMBER(G5),ABS(G5)&gt;0.2*$C5)</formula>
    </cfRule>
  </conditionalFormatting>
  <dataValidations count="1">
    <dataValidation type="decimal" allowBlank="1" showErrorMessage="1" errorTitle="Mark out of range" error="Enter a number from 0 up to the task's Max (column C)." sqref="E5:F14" xr:uid="{00000000-0002-0000-0A00-000000000000}">
      <formula1>0</formula1>
      <formula2>$C5</formula2>
    </dataValidation>
  </dataValidations>
  <pageMargins left="0.75" right="0.75" top="1" bottom="1" header="0.511811023622047" footer="0.511811023622047"/>
  <pageSetup fitToHeight="0" orientation="landscape"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G26"/>
  <sheetViews>
    <sheetView showGridLines="0" zoomScaleNormal="100" workbookViewId="0"/>
  </sheetViews>
  <sheetFormatPr defaultColWidth="8.7109375" defaultRowHeight="15" x14ac:dyDescent="0.25"/>
  <cols>
    <col min="1" max="1" width="28" customWidth="1"/>
    <col min="2" max="2" width="26" customWidth="1"/>
    <col min="3" max="3" width="16" customWidth="1"/>
    <col min="4" max="4" width="18" customWidth="1"/>
    <col min="5" max="7" width="22" customWidth="1"/>
  </cols>
  <sheetData>
    <row r="1" spans="1:6" ht="19.5" customHeight="1" x14ac:dyDescent="0.3">
      <c r="A1" s="1" t="s">
        <v>720</v>
      </c>
    </row>
    <row r="2" spans="1:6" ht="15" customHeight="1" x14ac:dyDescent="0.25">
      <c r="A2" s="2" t="s">
        <v>721</v>
      </c>
    </row>
    <row r="4" spans="1:6" ht="15" customHeight="1" x14ac:dyDescent="0.25">
      <c r="A4" s="9" t="s">
        <v>63</v>
      </c>
      <c r="B4" s="44" t="str">
        <f>IF(Team!B4="","",Team!B4)</f>
        <v>The Five Super Brothers</v>
      </c>
      <c r="C4" s="40"/>
    </row>
    <row r="5" spans="1:6" ht="25.5" customHeight="1" x14ac:dyDescent="0.25">
      <c r="A5" s="9" t="s">
        <v>722</v>
      </c>
      <c r="B5" s="30">
        <v>0.2</v>
      </c>
    </row>
    <row r="6" spans="1:6" ht="15" customHeight="1" x14ac:dyDescent="0.25">
      <c r="A6" s="9" t="s">
        <v>723</v>
      </c>
      <c r="B6" s="6"/>
      <c r="C6" s="6"/>
    </row>
    <row r="8" spans="1:6" ht="15.75" customHeight="1" x14ac:dyDescent="0.25">
      <c r="A8" s="3" t="s">
        <v>724</v>
      </c>
    </row>
    <row r="9" spans="1:6" ht="15" customHeight="1" x14ac:dyDescent="0.25">
      <c r="A9" s="7" t="s">
        <v>725</v>
      </c>
      <c r="B9" s="11" t="s">
        <v>726</v>
      </c>
      <c r="C9" s="15" t="s">
        <v>515</v>
      </c>
      <c r="D9" s="7" t="s">
        <v>727</v>
      </c>
    </row>
    <row r="10" spans="1:6" ht="15" customHeight="1" x14ac:dyDescent="0.25">
      <c r="A10" s="8" t="s">
        <v>718</v>
      </c>
      <c r="B10" s="31">
        <f>Marking!E15</f>
        <v>87</v>
      </c>
      <c r="C10" s="31">
        <f>Marking!F15</f>
        <v>0</v>
      </c>
      <c r="D10" s="26">
        <f>B10-C10</f>
        <v>87</v>
      </c>
    </row>
    <row r="11" spans="1:6" ht="15" customHeight="1" x14ac:dyDescent="0.25">
      <c r="A11" s="8" t="s">
        <v>728</v>
      </c>
      <c r="B11" s="31">
        <f>B10*$B$5</f>
        <v>17.400000000000002</v>
      </c>
      <c r="C11" s="31">
        <f>C10*$B$5</f>
        <v>0</v>
      </c>
      <c r="D11" s="26">
        <f>B11-C11</f>
        <v>17.400000000000002</v>
      </c>
    </row>
    <row r="12" spans="1:6" ht="31.5" customHeight="1" x14ac:dyDescent="0.25">
      <c r="A12" s="8" t="s">
        <v>729</v>
      </c>
      <c r="B12" s="10"/>
      <c r="C12" s="21"/>
    </row>
    <row r="14" spans="1:6" ht="15.75" customHeight="1" x14ac:dyDescent="0.25">
      <c r="A14" s="3" t="s">
        <v>730</v>
      </c>
    </row>
    <row r="15" spans="1:6" ht="51.75" customHeight="1" x14ac:dyDescent="0.25">
      <c r="A15" s="7" t="s">
        <v>68</v>
      </c>
      <c r="B15" s="7" t="s">
        <v>70</v>
      </c>
      <c r="C15" s="7" t="s">
        <v>72</v>
      </c>
      <c r="D15" s="15" t="s">
        <v>731</v>
      </c>
      <c r="E15" s="7" t="s">
        <v>732</v>
      </c>
      <c r="F15" s="7" t="s">
        <v>733</v>
      </c>
    </row>
    <row r="16" spans="1:6" ht="15" customHeight="1" x14ac:dyDescent="0.25">
      <c r="A16" s="9" t="str">
        <f>IF(Team!B11="","",Team!B11)</f>
        <v>Dang Hieu Minh</v>
      </c>
      <c r="B16" s="10" t="str">
        <f>IF(Team!C11="","",Team!C11)</f>
        <v>524H0168</v>
      </c>
      <c r="C16" s="19">
        <f>IF(Team!C11="","",Team!E11)</f>
        <v>0.2</v>
      </c>
      <c r="D16" s="32"/>
      <c r="E16" s="33">
        <f>IF($B16="","",ROUND($C$10*IF($D16="",1,$D16),2))</f>
        <v>0</v>
      </c>
      <c r="F16" s="34">
        <f>IF($B16="","",ROUND(E16*$B$5,2))</f>
        <v>0</v>
      </c>
    </row>
    <row r="17" spans="1:7" ht="15" customHeight="1" x14ac:dyDescent="0.25">
      <c r="A17" s="9" t="str">
        <f>IF(Team!B12="","",Team!B12)</f>
        <v>Pham Cong Quoc Huy</v>
      </c>
      <c r="B17" s="10" t="str">
        <f>IF(Team!C12="","",Team!C12)</f>
        <v>524H0161</v>
      </c>
      <c r="C17" s="19">
        <f>IF(Team!C12="","",Team!E12)</f>
        <v>0.2</v>
      </c>
      <c r="D17" s="32"/>
      <c r="E17" s="33">
        <f>IF($B17="","",ROUND($C$10*IF($D17="",1,$D17),2))</f>
        <v>0</v>
      </c>
      <c r="F17" s="34">
        <f>IF($B17="","",ROUND(E17*$B$5,2))</f>
        <v>0</v>
      </c>
    </row>
    <row r="18" spans="1:7" ht="15" customHeight="1" x14ac:dyDescent="0.25">
      <c r="A18" s="9" t="str">
        <f>IF(Team!B13="","",Team!B13)</f>
        <v>Nguyen Trong Hoang Linh</v>
      </c>
      <c r="B18" s="10" t="str">
        <f>IF(Team!C13="","",Team!C13)</f>
        <v>524H0166</v>
      </c>
      <c r="C18" s="19">
        <f>IF(Team!C13="","",Team!E13)</f>
        <v>0.2</v>
      </c>
      <c r="D18" s="32"/>
      <c r="E18" s="33">
        <f>IF($B18="","",ROUND($C$10*IF($D18="",1,$D18),2))</f>
        <v>0</v>
      </c>
      <c r="F18" s="34">
        <f>IF($B18="","",ROUND(E18*$B$5,2))</f>
        <v>0</v>
      </c>
    </row>
    <row r="19" spans="1:7" ht="15" customHeight="1" x14ac:dyDescent="0.25">
      <c r="A19" s="9" t="str">
        <f>IF(Team!B14="","",Team!B14)</f>
        <v>Hua Nguyen Thanh Trong</v>
      </c>
      <c r="B19" s="10" t="str">
        <f>IF(Team!C14="","",Team!C14)</f>
        <v>524H0200</v>
      </c>
      <c r="C19" s="19">
        <f>IF(Team!C14="","",Team!E14)</f>
        <v>0.2</v>
      </c>
      <c r="D19" s="32"/>
      <c r="E19" s="33">
        <f>IF($B19="","",ROUND($C$10*IF($D19="",1,$D19),2))</f>
        <v>0</v>
      </c>
      <c r="F19" s="34">
        <f>IF($B19="","",ROUND(E19*$B$5,2))</f>
        <v>0</v>
      </c>
    </row>
    <row r="20" spans="1:7" ht="15" customHeight="1" x14ac:dyDescent="0.25">
      <c r="A20" s="9" t="str">
        <f>IF(Team!B15="","",Team!B15)</f>
        <v>Le Hoang Tri</v>
      </c>
      <c r="B20" s="10" t="str">
        <f>IF(Team!C15="","",Team!C15)</f>
        <v>524H0199</v>
      </c>
      <c r="C20" s="19">
        <f>IF(Team!C15="","",Team!E15)</f>
        <v>0.2</v>
      </c>
      <c r="D20" s="32"/>
      <c r="E20" s="33">
        <f>IF($B20="","",ROUND($C$10*IF($D20="",1,$D20),2))</f>
        <v>0</v>
      </c>
      <c r="F20" s="34">
        <f>IF($B20="","",ROUND(E20*$B$5,2))</f>
        <v>0</v>
      </c>
    </row>
    <row r="22" spans="1:7" ht="15" customHeight="1" x14ac:dyDescent="0.25">
      <c r="A22" s="14" t="s">
        <v>734</v>
      </c>
    </row>
    <row r="24" spans="1:7" ht="15.75" customHeight="1" x14ac:dyDescent="0.25">
      <c r="A24" s="3" t="s">
        <v>735</v>
      </c>
    </row>
    <row r="25" spans="1:7" ht="60" customHeight="1" x14ac:dyDescent="0.25">
      <c r="A25" s="9" t="s">
        <v>736</v>
      </c>
      <c r="B25" s="39"/>
      <c r="C25" s="42"/>
      <c r="D25" s="42"/>
      <c r="E25" s="42"/>
      <c r="F25" s="42"/>
      <c r="G25" s="40"/>
    </row>
    <row r="26" spans="1:7" ht="60" customHeight="1" x14ac:dyDescent="0.25">
      <c r="A26" s="9" t="s">
        <v>679</v>
      </c>
      <c r="B26" s="45"/>
      <c r="C26" s="42"/>
      <c r="D26" s="42"/>
      <c r="E26" s="42"/>
      <c r="F26" s="42"/>
      <c r="G26" s="40"/>
    </row>
  </sheetData>
  <mergeCells count="3">
    <mergeCell ref="B4:C4"/>
    <mergeCell ref="B25:G25"/>
    <mergeCell ref="B26:G26"/>
  </mergeCells>
  <dataValidations count="2">
    <dataValidation type="whole" allowBlank="1" showErrorMessage="1" error="Enter 0 or 1." sqref="C12" xr:uid="{00000000-0002-0000-0B00-000000000000}">
      <formula1>0</formula1>
      <formula2>1</formula2>
    </dataValidation>
    <dataValidation type="decimal" allowBlank="1" showErrorMessage="1" error="Factor must be between 0.70 and 1.00." sqref="D16:D20" xr:uid="{00000000-0002-0000-0B00-000001000000}">
      <formula1>0.7</formula1>
      <formula2>1</formula2>
    </dataValidation>
  </dataValidations>
  <pageMargins left="0.75" right="0.75" top="1" bottom="1" header="0.511811023622047" footer="0.511811023622047"/>
  <pageSetup fitToHeight="0" orientation="landscape"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Instructions</vt:lpstr>
      <vt:lpstr>Team</vt:lpstr>
      <vt:lpstr>Clarification Q&amp;A</vt:lpstr>
      <vt:lpstr>Requirements</vt:lpstr>
      <vt:lpstr>Use Cases</vt:lpstr>
      <vt:lpstr>Artifact Tracker</vt:lpstr>
      <vt:lpstr>Consistency Check</vt:lpstr>
      <vt:lpstr>AI Prompt Log</vt:lpstr>
      <vt:lpstr>Commit Log</vt:lpstr>
      <vt:lpstr>Progress Log</vt:lpstr>
      <vt:lpstr>Marking</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Ky-Trung Pham</dc:creator>
  <cp:lastModifiedBy>Thanh Trong Hua Nguyen</cp:lastModifiedBy>
  <cp:revision>0</cp:revision>
  <dcterms:created xsi:type="dcterms:W3CDTF">2026-10-20T16:27:08Z</dcterms:created>
  <dcterms:modified xsi:type="dcterms:W3CDTF">2026-10-31T16:59:44Z</dcterms:modified>
  <dc:language>en-US</dc:language>
</cp:coreProperties>
</file>